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Facultad\"/>
    </mc:Choice>
  </mc:AlternateContent>
  <xr:revisionPtr revIDLastSave="0" documentId="13_ncr:1_{9D6D53E9-AFB5-40AB-AF01-DB29883E9B3B}" xr6:coauthVersionLast="47" xr6:coauthVersionMax="47" xr10:uidLastSave="{00000000-0000-0000-0000-000000000000}"/>
  <bookViews>
    <workbookView xWindow="-120" yWindow="-120" windowWidth="29040" windowHeight="15720" tabRatio="525" activeTab="1" xr2:uid="{00000000-000D-0000-FFFF-FFFF00000000}"/>
  </bookViews>
  <sheets>
    <sheet name="Plan de estudio" sheetId="1" r:id="rId1"/>
    <sheet name="Historial de Notas" sheetId="3" r:id="rId2"/>
    <sheet name="Horarios" sheetId="2" r:id="rId3"/>
  </sheets>
  <definedNames>
    <definedName name="_xlnm._FilterDatabase" localSheetId="0" hidden="1">'Plan de estudio'!$B$1:$F$64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E38" i="1"/>
  <c r="E42" i="1"/>
  <c r="E56" i="1"/>
  <c r="E34" i="1"/>
  <c r="E55" i="1"/>
  <c r="E51" i="1"/>
  <c r="E49" i="1"/>
  <c r="E44" i="1"/>
  <c r="E43" i="1"/>
  <c r="E40" i="1"/>
  <c r="E32" i="1"/>
  <c r="E31" i="1"/>
  <c r="E25" i="1"/>
  <c r="E23" i="1"/>
  <c r="E26" i="1"/>
  <c r="E58" i="1"/>
  <c r="E57" i="1"/>
  <c r="E54" i="1"/>
  <c r="E53" i="1"/>
  <c r="E52" i="1"/>
  <c r="E50" i="1"/>
  <c r="E48" i="1"/>
  <c r="E47" i="1"/>
  <c r="E46" i="1"/>
  <c r="E45" i="1"/>
  <c r="E64" i="1"/>
  <c r="E63" i="1"/>
  <c r="E62" i="1"/>
  <c r="E61" i="1"/>
  <c r="E60" i="1"/>
  <c r="E59" i="1"/>
  <c r="E41" i="1"/>
  <c r="E39" i="1"/>
  <c r="E13" i="1"/>
  <c r="E8" i="1"/>
  <c r="E7" i="1"/>
  <c r="E6" i="1"/>
  <c r="E5" i="1"/>
  <c r="E4" i="1"/>
  <c r="E3" i="1"/>
  <c r="E2" i="1"/>
  <c r="E9" i="1"/>
  <c r="E37" i="1"/>
  <c r="E12" i="1" l="1"/>
  <c r="E36" i="1" l="1"/>
  <c r="E35" i="1"/>
  <c r="E18" i="1" l="1"/>
  <c r="E33" i="1" l="1"/>
  <c r="E30" i="1"/>
  <c r="E29" i="1"/>
  <c r="E28" i="1"/>
  <c r="E24" i="1"/>
  <c r="E22" i="1"/>
  <c r="E21" i="1"/>
  <c r="E19" i="1"/>
  <c r="E20" i="1"/>
  <c r="E17" i="1"/>
  <c r="E16" i="1"/>
  <c r="E15" i="1"/>
  <c r="E14" i="1"/>
  <c r="E11" i="1" l="1"/>
  <c r="E10" i="1"/>
  <c r="H24" i="1" l="1"/>
  <c r="I24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0" i="1"/>
  <c r="I20" i="1" s="1"/>
  <c r="H10" i="1"/>
  <c r="I2" i="1"/>
  <c r="G14" i="1"/>
  <c r="H14" i="1" s="1"/>
  <c r="G10" i="1"/>
  <c r="J24" i="1" l="1"/>
  <c r="J30" i="1"/>
  <c r="J29" i="1"/>
  <c r="J31" i="1"/>
  <c r="J32" i="1"/>
  <c r="J33" i="1"/>
  <c r="J34" i="1"/>
  <c r="J20" i="1"/>
  <c r="G2" i="1" l="1"/>
  <c r="H2" i="1" s="1"/>
  <c r="H19" i="1"/>
  <c r="H18" i="1"/>
  <c r="H21" i="1"/>
  <c r="H22" i="1"/>
  <c r="H23" i="1"/>
  <c r="J23" i="1" s="1"/>
  <c r="I22" i="1" l="1"/>
  <c r="J22" i="1"/>
  <c r="I21" i="1"/>
  <c r="J21" i="1"/>
  <c r="I19" i="1"/>
  <c r="J19" i="1"/>
  <c r="I18" i="1"/>
  <c r="J18" i="1"/>
  <c r="J2" i="1"/>
  <c r="I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tc={D924F28F-7D81-4E64-A2C2-A49B0D698868}</author>
  </authors>
  <commentList>
    <comment ref="B55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 Anual</t>
      </text>
    </comment>
  </commentList>
</comments>
</file>

<file path=xl/sharedStrings.xml><?xml version="1.0" encoding="utf-8"?>
<sst xmlns="http://schemas.openxmlformats.org/spreadsheetml/2006/main" count="339" uniqueCount="162">
  <si>
    <t xml:space="preserve">Código </t>
  </si>
  <si>
    <t>Condición</t>
  </si>
  <si>
    <t>Disponibilidad</t>
  </si>
  <si>
    <t>Nota</t>
  </si>
  <si>
    <t>Materias Aprobadas</t>
  </si>
  <si>
    <t>Porcentaje de la carrera hecho</t>
  </si>
  <si>
    <t>Análisis Matemático I</t>
  </si>
  <si>
    <t>Materias Restantes</t>
  </si>
  <si>
    <t>Pendientes de final</t>
  </si>
  <si>
    <t>Álgebra y Geometría Analítica I</t>
  </si>
  <si>
    <t>No aprobada</t>
  </si>
  <si>
    <t>Matemática Discreta</t>
  </si>
  <si>
    <t xml:space="preserve">Promedio (Grado) </t>
  </si>
  <si>
    <t xml:space="preserve">Promedio ( Intermedio) </t>
  </si>
  <si>
    <t>Física I</t>
  </si>
  <si>
    <t xml:space="preserve">Materias Restantes (Intermedio) </t>
  </si>
  <si>
    <t>Porcentaje del intermedio</t>
  </si>
  <si>
    <t>Análisis Matemático II</t>
  </si>
  <si>
    <t>Física II</t>
  </si>
  <si>
    <t>Año</t>
  </si>
  <si>
    <t>Faltan</t>
  </si>
  <si>
    <t>Porcentaje</t>
  </si>
  <si>
    <t>Primer año</t>
  </si>
  <si>
    <t>Segundo año</t>
  </si>
  <si>
    <t>Tercer año</t>
  </si>
  <si>
    <t>Cuarto año</t>
  </si>
  <si>
    <t>Quinto año</t>
  </si>
  <si>
    <t>Transversales</t>
  </si>
  <si>
    <t>Electivas</t>
  </si>
  <si>
    <t>Orientación</t>
  </si>
  <si>
    <t>Computación I</t>
  </si>
  <si>
    <t>Computación II</t>
  </si>
  <si>
    <t>Inglés I</t>
  </si>
  <si>
    <t>Inglés II</t>
  </si>
  <si>
    <t>Inglés III</t>
  </si>
  <si>
    <t>Inglés IV</t>
  </si>
  <si>
    <t>Programación Inicial</t>
  </si>
  <si>
    <t>Programación Estructurada Básica</t>
  </si>
  <si>
    <t>Introducción a Proyectos Informáticos</t>
  </si>
  <si>
    <t>Sistemas de Numeración</t>
  </si>
  <si>
    <t>Fundamentos de Sistemas Embebidos</t>
  </si>
  <si>
    <t>Principios de Calidad de Software</t>
  </si>
  <si>
    <t>Tópicos de Programación</t>
  </si>
  <si>
    <t>Análisis de Sistemas</t>
  </si>
  <si>
    <t>Análisis Matemático III</t>
  </si>
  <si>
    <t>Algoritmos y Estructuras de Datos</t>
  </si>
  <si>
    <t>Principios de Diseño de Sistemas</t>
  </si>
  <si>
    <t>Electiva I</t>
  </si>
  <si>
    <t>Electiva II</t>
  </si>
  <si>
    <t>Electiva III</t>
  </si>
  <si>
    <t>Aprobadas</t>
  </si>
  <si>
    <t>Introducción a los Sistemas de Información</t>
  </si>
  <si>
    <t>Introducción a la Gestión de Requisitos</t>
  </si>
  <si>
    <t>Bases de Datos</t>
  </si>
  <si>
    <t>Arquitectura de Computadoras</t>
  </si>
  <si>
    <t>Responsabilidad Social Universitaria</t>
  </si>
  <si>
    <t>Bases de Datos Aplicada</t>
  </si>
  <si>
    <t>Redes de Computadoras</t>
  </si>
  <si>
    <t>Gestión de las Organizaciones</t>
  </si>
  <si>
    <t>Taller de Integración</t>
  </si>
  <si>
    <t>Álgebra y Geometría Analítica II</t>
  </si>
  <si>
    <t>Paradigmas de Programación</t>
  </si>
  <si>
    <t>Requisitos Avanzados</t>
  </si>
  <si>
    <t>Diseño de Software</t>
  </si>
  <si>
    <t>Sistemas Operativos</t>
  </si>
  <si>
    <t>Seguridad de la Información</t>
  </si>
  <si>
    <t>Práctica Profesional Supervisada</t>
  </si>
  <si>
    <t>Probabilidad y Estadística</t>
  </si>
  <si>
    <t>Programación Avanzada</t>
  </si>
  <si>
    <t>Arquitecturas de Sistemas Software</t>
  </si>
  <si>
    <t>Virtualización de Hardware</t>
  </si>
  <si>
    <t>Auditoría y Legislación</t>
  </si>
  <si>
    <t>Estadística Aplicada</t>
  </si>
  <si>
    <t>Autómatas y Gramática</t>
  </si>
  <si>
    <t>Programación Concurrente</t>
  </si>
  <si>
    <t>Gestión Aplicada al Desarrollo de Software I</t>
  </si>
  <si>
    <t>Sistemas Operativos Avanzados</t>
  </si>
  <si>
    <t>Gestión de Proyectos</t>
  </si>
  <si>
    <t>Matemática Aplicada</t>
  </si>
  <si>
    <t>Lenguajes y Compiladores</t>
  </si>
  <si>
    <t>Inteligencia Artificial</t>
  </si>
  <si>
    <t>Gestión Aplicada al Desarrollo de Software II</t>
  </si>
  <si>
    <t>Seguridad Apliacada y Forensia</t>
  </si>
  <si>
    <t>Gestión de la Calidad en Procesos de Sistemas</t>
  </si>
  <si>
    <t>Inteligencia Artificial Aplicada</t>
  </si>
  <si>
    <t>Innovación y Emprendedorismo</t>
  </si>
  <si>
    <t>Ciencia de Datos</t>
  </si>
  <si>
    <t>Proyecto Final de Carrera</t>
  </si>
  <si>
    <t>Trayecto</t>
  </si>
  <si>
    <t>Ciencias Básicas</t>
  </si>
  <si>
    <t>Programación</t>
  </si>
  <si>
    <t>Infraestructura</t>
  </si>
  <si>
    <t>Calidad y Seguridad de la Información</t>
  </si>
  <si>
    <t>Gestión y Complementarias</t>
  </si>
  <si>
    <t>Desarrollo de Software</t>
  </si>
  <si>
    <t>Materia</t>
  </si>
  <si>
    <t>Ingeniería en Informática</t>
  </si>
  <si>
    <r>
      <rPr>
        <b/>
        <sz val="14"/>
        <color theme="1"/>
        <rFont val="Calibri"/>
        <family val="2"/>
        <scheme val="minor"/>
      </rPr>
      <t>Nota:</t>
    </r>
    <r>
      <rPr>
        <sz val="14"/>
        <color theme="1"/>
        <rFont val="Calibri"/>
        <family val="2"/>
        <scheme val="minor"/>
      </rPr>
      <t xml:space="preserve"> Modificar los "0" (ceros) en la columna de notas SÓLO en caso de haber aprobado la materia (nota de 4 a 10) ; esto con el fin de que el cálculo del promedio sea correcto</t>
    </r>
  </si>
  <si>
    <t>ÚLTIMA REVISIÓN: DICIEMBRE 2023</t>
  </si>
  <si>
    <t>Aprobada</t>
  </si>
  <si>
    <t>mañana (8 a 12)</t>
  </si>
  <si>
    <t>tarde (14 a 18)</t>
  </si>
  <si>
    <t>noche (19 a 23)</t>
  </si>
  <si>
    <t>lunes</t>
  </si>
  <si>
    <t>martes</t>
  </si>
  <si>
    <t>miercoles</t>
  </si>
  <si>
    <t>jueves</t>
  </si>
  <si>
    <t>viernes</t>
  </si>
  <si>
    <t>sabado</t>
  </si>
  <si>
    <t>Segundo Parcial</t>
  </si>
  <si>
    <t>Recuperatorio</t>
  </si>
  <si>
    <t>1°C 2022</t>
  </si>
  <si>
    <t>Analisis Matematico 1</t>
  </si>
  <si>
    <t>Elementos de Programacion</t>
  </si>
  <si>
    <t>2°C 2022</t>
  </si>
  <si>
    <t>Dibujo Tecnico</t>
  </si>
  <si>
    <t>Matematica Discreta</t>
  </si>
  <si>
    <t>Fundamentos de TIC's</t>
  </si>
  <si>
    <t>Algebra y Geometria analitica 1</t>
  </si>
  <si>
    <t>1°C 2023</t>
  </si>
  <si>
    <t>Introduccion a los Proyectos Informaticos</t>
  </si>
  <si>
    <t>Fisica 1</t>
  </si>
  <si>
    <t>Analisis 3</t>
  </si>
  <si>
    <t>TP Aprobado</t>
  </si>
  <si>
    <t>Topicos de programacion</t>
  </si>
  <si>
    <t>Computacion 1</t>
  </si>
  <si>
    <t>2°C 2023</t>
  </si>
  <si>
    <t>Topicos de Programacion</t>
  </si>
  <si>
    <t>Algebra y Geometria analitica 2</t>
  </si>
  <si>
    <t>Introduccion a los Sistemas Informaticos</t>
  </si>
  <si>
    <t>Base de Datos</t>
  </si>
  <si>
    <t>Fisica 2</t>
  </si>
  <si>
    <t>Probabilidad y Estadistica</t>
  </si>
  <si>
    <t>Base de Datos Aplicada</t>
  </si>
  <si>
    <t>Introduccion a la Gestion de Requisitos</t>
  </si>
  <si>
    <t>Computacion 2</t>
  </si>
  <si>
    <t>1°C 2024</t>
  </si>
  <si>
    <t>Primer Parcial/Trabajo Practico</t>
  </si>
  <si>
    <t>AUSENTE</t>
  </si>
  <si>
    <t>Segundo Intento</t>
  </si>
  <si>
    <t>Tercer Intento</t>
  </si>
  <si>
    <t>Nota Promocion / Primer Intento</t>
  </si>
  <si>
    <t>2°C 2024</t>
  </si>
  <si>
    <t>1°C 2025</t>
  </si>
  <si>
    <t>Matematica Aplicada</t>
  </si>
  <si>
    <t>Paradigmas de Programacion</t>
  </si>
  <si>
    <t>Seguridad de la Informacion</t>
  </si>
  <si>
    <t>Practica Profesional Supervisada</t>
  </si>
  <si>
    <t>Ingles 1</t>
  </si>
  <si>
    <t>2°C 2025</t>
  </si>
  <si>
    <t>Cursada</t>
  </si>
  <si>
    <t>Lunes</t>
  </si>
  <si>
    <t>Martes</t>
  </si>
  <si>
    <t>Jueves</t>
  </si>
  <si>
    <t>Viernes</t>
  </si>
  <si>
    <t>Miercoles</t>
  </si>
  <si>
    <t>1°C 2026</t>
  </si>
  <si>
    <t>Virtualizacion de Hardware</t>
  </si>
  <si>
    <t>Gestion de Proyectos</t>
  </si>
  <si>
    <t>Programacion Avanzada</t>
  </si>
  <si>
    <t>Automatas y Gramaticas</t>
  </si>
  <si>
    <t>Ingles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</si>
</sst>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60497A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9" fillId="28" borderId="0" applyNumberFormat="0" applyBorder="0" applyAlignment="0" applyProtection="0"/>
    <xf numFmtId="0" fontId="10" fillId="29" borderId="0" applyNumberFormat="0" applyBorder="0" applyAlignment="0" applyProtection="0"/>
  </cellStyleXfs>
  <cellXfs count="184">
    <xf numFmtId="0" fontId="0" fillId="0" borderId="0" xfId="0"/>
    <xf numFmtId="0" fontId="3" fillId="0" borderId="5" xfId="0" applyFont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9" fontId="3" fillId="0" borderId="8" xfId="1" applyFont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center"/>
    </xf>
    <xf numFmtId="9" fontId="2" fillId="10" borderId="6" xfId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9" fontId="2" fillId="12" borderId="6" xfId="1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9" fontId="2" fillId="13" borderId="6" xfId="1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9" fontId="2" fillId="15" borderId="6" xfId="1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2" fillId="17" borderId="13" xfId="0" applyFont="1" applyFill="1" applyBorder="1" applyAlignment="1">
      <alignment horizontal="center"/>
    </xf>
    <xf numFmtId="9" fontId="2" fillId="17" borderId="14" xfId="1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9" fontId="2" fillId="16" borderId="6" xfId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0" borderId="18" xfId="0" applyBorder="1"/>
    <xf numFmtId="0" fontId="3" fillId="20" borderId="5" xfId="0" applyFont="1" applyFill="1" applyBorder="1" applyAlignment="1">
      <alignment horizontal="center"/>
    </xf>
    <xf numFmtId="0" fontId="2" fillId="18" borderId="13" xfId="0" applyFont="1" applyFill="1" applyBorder="1" applyAlignment="1">
      <alignment horizontal="center" vertical="center"/>
    </xf>
    <xf numFmtId="9" fontId="2" fillId="18" borderId="14" xfId="1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 vertical="center"/>
    </xf>
    <xf numFmtId="0" fontId="2" fillId="22" borderId="5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/>
    </xf>
    <xf numFmtId="0" fontId="2" fillId="23" borderId="5" xfId="0" applyFont="1" applyFill="1" applyBorder="1" applyAlignment="1">
      <alignment horizontal="center" vertical="center"/>
    </xf>
    <xf numFmtId="9" fontId="2" fillId="17" borderId="6" xfId="1" applyFont="1" applyFill="1" applyBorder="1" applyAlignment="1">
      <alignment horizontal="center"/>
    </xf>
    <xf numFmtId="0" fontId="2" fillId="14" borderId="9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14" borderId="22" xfId="0" applyFont="1" applyFill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0" fontId="2" fillId="13" borderId="23" xfId="0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0" fontId="2" fillId="16" borderId="23" xfId="0" applyFont="1" applyFill="1" applyBorder="1" applyAlignment="1">
      <alignment horizontal="center"/>
    </xf>
    <xf numFmtId="0" fontId="2" fillId="18" borderId="24" xfId="0" applyFont="1" applyFill="1" applyBorder="1" applyAlignment="1">
      <alignment horizontal="center" vertical="center"/>
    </xf>
    <xf numFmtId="0" fontId="2" fillId="17" borderId="24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 vertical="center"/>
    </xf>
    <xf numFmtId="0" fontId="2" fillId="11" borderId="25" xfId="0" applyFont="1" applyFill="1" applyBorder="1" applyAlignment="1">
      <alignment horizontal="center" vertical="center"/>
    </xf>
    <xf numFmtId="0" fontId="2" fillId="21" borderId="23" xfId="0" applyFont="1" applyFill="1" applyBorder="1" applyAlignment="1">
      <alignment horizontal="center" vertical="center"/>
    </xf>
    <xf numFmtId="0" fontId="2" fillId="22" borderId="23" xfId="0" applyFont="1" applyFill="1" applyBorder="1" applyAlignment="1">
      <alignment horizontal="center" vertical="center"/>
    </xf>
    <xf numFmtId="0" fontId="2" fillId="17" borderId="23" xfId="0" applyFont="1" applyFill="1" applyBorder="1" applyAlignment="1">
      <alignment horizontal="center"/>
    </xf>
    <xf numFmtId="0" fontId="2" fillId="23" borderId="23" xfId="0" applyFont="1" applyFill="1" applyBorder="1" applyAlignment="1">
      <alignment horizontal="center" vertical="center"/>
    </xf>
    <xf numFmtId="0" fontId="2" fillId="12" borderId="4" xfId="3" applyFont="1" applyFill="1" applyBorder="1" applyAlignment="1">
      <alignment horizontal="center"/>
    </xf>
    <xf numFmtId="0" fontId="2" fillId="13" borderId="4" xfId="2" applyFont="1" applyFill="1" applyBorder="1" applyAlignment="1">
      <alignment horizontal="center"/>
    </xf>
    <xf numFmtId="0" fontId="2" fillId="13" borderId="4" xfId="4" applyFont="1" applyFill="1" applyBorder="1" applyAlignment="1">
      <alignment horizontal="center"/>
    </xf>
    <xf numFmtId="0" fontId="2" fillId="15" borderId="4" xfId="4" applyFont="1" applyFill="1" applyBorder="1" applyAlignment="1">
      <alignment horizontal="center"/>
    </xf>
    <xf numFmtId="0" fontId="2" fillId="15" borderId="4" xfId="5" applyFont="1" applyFill="1" applyBorder="1" applyAlignment="1">
      <alignment horizontal="center"/>
    </xf>
    <xf numFmtId="0" fontId="2" fillId="15" borderId="4" xfId="6" applyFont="1" applyFill="1" applyBorder="1" applyAlignment="1">
      <alignment horizontal="center"/>
    </xf>
    <xf numFmtId="0" fontId="2" fillId="16" borderId="4" xfId="6" applyFont="1" applyFill="1" applyBorder="1" applyAlignment="1">
      <alignment horizontal="center"/>
    </xf>
    <xf numFmtId="0" fontId="2" fillId="16" borderId="4" xfId="7" applyFont="1" applyFill="1" applyBorder="1" applyAlignment="1">
      <alignment horizontal="center"/>
    </xf>
    <xf numFmtId="0" fontId="2" fillId="18" borderId="4" xfId="7" applyFont="1" applyFill="1" applyBorder="1" applyAlignment="1">
      <alignment horizontal="center"/>
    </xf>
    <xf numFmtId="0" fontId="2" fillId="10" borderId="4" xfId="7" applyFont="1" applyFill="1" applyBorder="1" applyAlignment="1">
      <alignment horizontal="center"/>
    </xf>
    <xf numFmtId="0" fontId="2" fillId="17" borderId="4" xfId="7" applyFont="1" applyFill="1" applyBorder="1" applyAlignment="1">
      <alignment horizontal="center"/>
    </xf>
    <xf numFmtId="0" fontId="2" fillId="17" borderId="7" xfId="7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23" borderId="5" xfId="0" applyFont="1" applyFill="1" applyBorder="1" applyAlignment="1">
      <alignment horizontal="center"/>
    </xf>
    <xf numFmtId="9" fontId="2" fillId="21" borderId="6" xfId="1" applyFont="1" applyFill="1" applyBorder="1" applyAlignment="1">
      <alignment horizontal="center" vertical="center"/>
    </xf>
    <xf numFmtId="9" fontId="2" fillId="22" borderId="6" xfId="1" applyFont="1" applyFill="1" applyBorder="1" applyAlignment="1">
      <alignment horizontal="center" vertical="center"/>
    </xf>
    <xf numFmtId="9" fontId="2" fillId="23" borderId="5" xfId="1" applyFont="1" applyFill="1" applyBorder="1" applyAlignment="1">
      <alignment horizontal="center"/>
    </xf>
    <xf numFmtId="0" fontId="3" fillId="24" borderId="5" xfId="0" applyFont="1" applyFill="1" applyBorder="1" applyAlignment="1">
      <alignment horizontal="center"/>
    </xf>
    <xf numFmtId="0" fontId="3" fillId="24" borderId="19" xfId="0" applyFont="1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0" fillId="0" borderId="27" xfId="0" applyBorder="1"/>
    <xf numFmtId="0" fontId="0" fillId="0" borderId="0" xfId="0" applyAlignment="1">
      <alignment vertical="center"/>
    </xf>
    <xf numFmtId="0" fontId="0" fillId="0" borderId="5" xfId="0" applyBorder="1"/>
    <xf numFmtId="0" fontId="0" fillId="26" borderId="5" xfId="0" applyFill="1" applyBorder="1"/>
    <xf numFmtId="0" fontId="0" fillId="0" borderId="28" xfId="0" applyBorder="1"/>
    <xf numFmtId="0" fontId="0" fillId="0" borderId="2" xfId="0" applyBorder="1"/>
    <xf numFmtId="0" fontId="8" fillId="0" borderId="0" xfId="0" applyFont="1"/>
    <xf numFmtId="0" fontId="0" fillId="26" borderId="19" xfId="0" applyFill="1" applyBorder="1"/>
    <xf numFmtId="0" fontId="0" fillId="0" borderId="19" xfId="0" applyBorder="1"/>
    <xf numFmtId="0" fontId="0" fillId="0" borderId="5" xfId="0" applyBorder="1" applyAlignment="1">
      <alignment horizontal="right"/>
    </xf>
    <xf numFmtId="0" fontId="0" fillId="26" borderId="2" xfId="0" applyFill="1" applyBorder="1"/>
    <xf numFmtId="0" fontId="2" fillId="0" borderId="0" xfId="2" applyFont="1" applyFill="1" applyBorder="1" applyAlignment="1">
      <alignment horizontal="center"/>
    </xf>
    <xf numFmtId="0" fontId="2" fillId="0" borderId="0" xfId="4" applyFont="1" applyFill="1" applyBorder="1" applyAlignment="1">
      <alignment horizontal="center"/>
    </xf>
    <xf numFmtId="0" fontId="2" fillId="0" borderId="0" xfId="5" applyFont="1" applyFill="1" applyBorder="1" applyAlignment="1">
      <alignment horizontal="center"/>
    </xf>
    <xf numFmtId="0" fontId="2" fillId="0" borderId="0" xfId="6" applyFont="1" applyFill="1" applyBorder="1" applyAlignment="1">
      <alignment horizontal="center"/>
    </xf>
    <xf numFmtId="0" fontId="0" fillId="0" borderId="0" xfId="0" applyAlignment="1">
      <alignment horizontal="right"/>
    </xf>
    <xf numFmtId="0" fontId="8" fillId="0" borderId="5" xfId="0" applyFont="1" applyBorder="1"/>
    <xf numFmtId="0" fontId="8" fillId="27" borderId="5" xfId="0" applyFont="1" applyFill="1" applyBorder="1"/>
    <xf numFmtId="0" fontId="11" fillId="28" borderId="2" xfId="8" applyFont="1" applyBorder="1"/>
    <xf numFmtId="0" fontId="11" fillId="26" borderId="2" xfId="0" applyFont="1" applyFill="1" applyBorder="1"/>
    <xf numFmtId="0" fontId="11" fillId="26" borderId="3" xfId="0" applyFont="1" applyFill="1" applyBorder="1"/>
    <xf numFmtId="0" fontId="11" fillId="28" borderId="19" xfId="8" applyFont="1" applyBorder="1"/>
    <xf numFmtId="0" fontId="11" fillId="26" borderId="19" xfId="0" applyFont="1" applyFill="1" applyBorder="1"/>
    <xf numFmtId="0" fontId="11" fillId="26" borderId="8" xfId="0" applyFont="1" applyFill="1" applyBorder="1"/>
    <xf numFmtId="0" fontId="11" fillId="0" borderId="0" xfId="0" applyFont="1"/>
    <xf numFmtId="0" fontId="11" fillId="28" borderId="5" xfId="8" applyFont="1" applyBorder="1"/>
    <xf numFmtId="0" fontId="11" fillId="26" borderId="5" xfId="0" applyFont="1" applyFill="1" applyBorder="1"/>
    <xf numFmtId="0" fontId="11" fillId="26" borderId="6" xfId="0" applyFont="1" applyFill="1" applyBorder="1"/>
    <xf numFmtId="0" fontId="11" fillId="29" borderId="5" xfId="9" applyFont="1" applyBorder="1"/>
    <xf numFmtId="0" fontId="11" fillId="0" borderId="2" xfId="0" applyFont="1" applyBorder="1"/>
    <xf numFmtId="0" fontId="11" fillId="0" borderId="5" xfId="0" applyFont="1" applyBorder="1"/>
    <xf numFmtId="0" fontId="0" fillId="26" borderId="6" xfId="0" applyFill="1" applyBorder="1"/>
    <xf numFmtId="0" fontId="0" fillId="26" borderId="8" xfId="0" applyFill="1" applyBorder="1"/>
    <xf numFmtId="0" fontId="0" fillId="26" borderId="3" xfId="0" applyFill="1" applyBorder="1"/>
    <xf numFmtId="0" fontId="2" fillId="0" borderId="5" xfId="4" applyFont="1" applyFill="1" applyBorder="1" applyAlignment="1">
      <alignment horizontal="center"/>
    </xf>
    <xf numFmtId="0" fontId="2" fillId="0" borderId="0" xfId="7" applyFont="1" applyFill="1" applyBorder="1" applyAlignment="1">
      <alignment horizontal="center"/>
    </xf>
    <xf numFmtId="0" fontId="8" fillId="27" borderId="33" xfId="0" applyFont="1" applyFill="1" applyBorder="1"/>
    <xf numFmtId="0" fontId="0" fillId="0" borderId="3" xfId="0" applyBorder="1"/>
    <xf numFmtId="0" fontId="11" fillId="28" borderId="0" xfId="8" applyFont="1" applyBorder="1"/>
    <xf numFmtId="0" fontId="2" fillId="0" borderId="5" xfId="2" applyFont="1" applyFill="1" applyBorder="1" applyAlignment="1">
      <alignment horizontal="center"/>
    </xf>
    <xf numFmtId="0" fontId="2" fillId="0" borderId="5" xfId="5" applyFont="1" applyFill="1" applyBorder="1" applyAlignment="1">
      <alignment horizontal="center"/>
    </xf>
    <xf numFmtId="0" fontId="2" fillId="15" borderId="5" xfId="5" applyFont="1" applyFill="1" applyBorder="1" applyAlignment="1">
      <alignment horizontal="center"/>
    </xf>
    <xf numFmtId="0" fontId="2" fillId="16" borderId="5" xfId="6" applyFont="1" applyFill="1" applyBorder="1" applyAlignment="1">
      <alignment horizontal="center"/>
    </xf>
    <xf numFmtId="0" fontId="2" fillId="17" borderId="5" xfId="7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21" borderId="0" xfId="0" quotePrefix="1" applyFont="1" applyFill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0" fillId="0" borderId="23" xfId="0" applyBorder="1"/>
    <xf numFmtId="0" fontId="0" fillId="26" borderId="22" xfId="0" applyFill="1" applyBorder="1"/>
    <xf numFmtId="0" fontId="0" fillId="26" borderId="25" xfId="0" applyFill="1" applyBorder="1"/>
    <xf numFmtId="0" fontId="0" fillId="0" borderId="23" xfId="0" applyBorder="1" applyAlignment="1">
      <alignment horizontal="right"/>
    </xf>
    <xf numFmtId="0" fontId="0" fillId="26" borderId="23" xfId="0" applyFill="1" applyBorder="1"/>
    <xf numFmtId="0" fontId="0" fillId="25" borderId="10" xfId="0" applyFill="1" applyBorder="1"/>
    <xf numFmtId="0" fontId="0" fillId="25" borderId="12" xfId="0" applyFill="1" applyBorder="1"/>
    <xf numFmtId="0" fontId="8" fillId="25" borderId="32" xfId="0" applyFont="1" applyFill="1" applyBorder="1"/>
    <xf numFmtId="0" fontId="0" fillId="25" borderId="32" xfId="0" applyFill="1" applyBorder="1"/>
    <xf numFmtId="0" fontId="8" fillId="25" borderId="12" xfId="0" applyFont="1" applyFill="1" applyBorder="1"/>
    <xf numFmtId="0" fontId="6" fillId="9" borderId="26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5" fillId="9" borderId="26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0" fillId="25" borderId="34" xfId="0" applyFill="1" applyBorder="1" applyAlignment="1">
      <alignment horizontal="center" vertical="center"/>
    </xf>
    <xf numFmtId="0" fontId="0" fillId="25" borderId="35" xfId="0" applyFill="1" applyBorder="1" applyAlignment="1">
      <alignment horizontal="center" vertical="center"/>
    </xf>
    <xf numFmtId="0" fontId="0" fillId="25" borderId="36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5" borderId="32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29" xfId="0" applyFill="1" applyBorder="1" applyAlignment="1">
      <alignment horizontal="center" vertical="center"/>
    </xf>
    <xf numFmtId="0" fontId="0" fillId="25" borderId="30" xfId="0" applyFill="1" applyBorder="1" applyAlignment="1">
      <alignment horizontal="center" vertical="center"/>
    </xf>
    <xf numFmtId="0" fontId="0" fillId="25" borderId="31" xfId="0" applyFill="1" applyBorder="1" applyAlignment="1">
      <alignment horizontal="center" vertical="center"/>
    </xf>
    <xf numFmtId="0" fontId="0" fillId="25" borderId="9" xfId="0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0" borderId="22" xfId="0" applyFill="1" applyBorder="1"/>
    <xf numFmtId="0" fontId="0" fillId="0" borderId="2" xfId="0" applyFill="1" applyBorder="1"/>
    <xf numFmtId="0" fontId="0" fillId="0" borderId="23" xfId="0" applyFill="1" applyBorder="1"/>
    <xf numFmtId="0" fontId="0" fillId="0" borderId="5" xfId="0" applyFill="1" applyBorder="1"/>
    <xf numFmtId="0" fontId="0" fillId="0" borderId="23" xfId="0" applyFill="1" applyBorder="1" applyAlignment="1">
      <alignment horizontal="right"/>
    </xf>
    <xf numFmtId="0" fontId="0" fillId="0" borderId="25" xfId="0" applyFill="1" applyBorder="1"/>
    <xf numFmtId="0" fontId="0" fillId="0" borderId="19" xfId="0" applyFill="1" applyBorder="1"/>
    <xf numFmtId="0" fontId="11" fillId="0" borderId="2" xfId="0" applyFont="1" applyFill="1" applyBorder="1"/>
    <xf numFmtId="0" fontId="11" fillId="0" borderId="3" xfId="0" applyFont="1" applyFill="1" applyBorder="1"/>
    <xf numFmtId="0" fontId="11" fillId="0" borderId="5" xfId="0" applyFont="1" applyFill="1" applyBorder="1"/>
    <xf numFmtId="0" fontId="11" fillId="0" borderId="6" xfId="0" applyFont="1" applyFill="1" applyBorder="1"/>
    <xf numFmtId="0" fontId="11" fillId="0" borderId="19" xfId="0" applyFont="1" applyFill="1" applyBorder="1"/>
    <xf numFmtId="0" fontId="11" fillId="0" borderId="8" xfId="0" applyFont="1" applyFill="1" applyBorder="1"/>
    <xf numFmtId="0" fontId="0" fillId="25" borderId="37" xfId="0" applyFill="1" applyBorder="1" applyAlignment="1">
      <alignment horizontal="center" vertical="center"/>
    </xf>
    <xf numFmtId="0" fontId="0" fillId="25" borderId="26" xfId="0" applyFill="1" applyBorder="1" applyAlignment="1">
      <alignment horizontal="center" vertical="center"/>
    </xf>
    <xf numFmtId="0" fontId="0" fillId="25" borderId="38" xfId="0" applyFill="1" applyBorder="1" applyAlignment="1">
      <alignment horizontal="center" vertical="center"/>
    </xf>
  </cellXfs>
  <cellStyles count="10">
    <cellStyle name="Accent1" xfId="2" builtinId="29"/>
    <cellStyle name="Accent2" xfId="3" builtinId="33"/>
    <cellStyle name="Accent3" xfId="4" builtinId="37"/>
    <cellStyle name="Accent4" xfId="5" builtinId="41"/>
    <cellStyle name="Accent5" xfId="6" builtinId="45"/>
    <cellStyle name="Accent6" xfId="7" builtinId="49"/>
    <cellStyle name="Bad" xfId="9" builtinId="27"/>
    <cellStyle name="Good" xfId="8" builtinId="26"/>
    <cellStyle name="Normal" xfId="0" builtinId="0"/>
    <cellStyle name="Percent" xfId="1" builtinId="5"/>
  </cellStyles>
  <dxfs count="26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6933C"/>
        </patternFill>
      </fill>
    </dxf>
    <dxf>
      <font>
        <color theme="0"/>
      </font>
      <fill>
        <patternFill>
          <bgColor rgb="FF538DD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38DD5"/>
      <color rgb="FFFF5050"/>
      <color rgb="FF5F5F5F"/>
      <color rgb="FFF79646"/>
      <color rgb="FF76933C"/>
      <color rgb="FF632523"/>
      <color rgb="FF5397B0"/>
      <color rgb="FFC0504D"/>
      <color rgb="FF8064A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F5-48B3-8858-48803A1D6C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F5-48B3-8858-48803A1D6C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F5-48B3-8858-48803A1D6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 de estudio'!$G$1:$I$1</c:f>
              <c:strCache>
                <c:ptCount val="3"/>
                <c:pt idx="0">
                  <c:v>Materias Aprobadas</c:v>
                </c:pt>
                <c:pt idx="1">
                  <c:v>Materias Restantes</c:v>
                </c:pt>
                <c:pt idx="2">
                  <c:v>Pendientes de final</c:v>
                </c:pt>
              </c:strCache>
            </c:strRef>
          </c:cat>
          <c:val>
            <c:numRef>
              <c:f>'Plan de estudio'!$G$2:$I$2</c:f>
              <c:numCache>
                <c:formatCode>General</c:formatCode>
                <c:ptCount val="3"/>
                <c:pt idx="0">
                  <c:v>37</c:v>
                </c:pt>
                <c:pt idx="1">
                  <c:v>25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E-4572-B7D8-157E1E61546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046931633545805"/>
          <c:y val="4.0920727100100585E-2"/>
          <c:w val="0.50699787526559181"/>
          <c:h val="0.2472310039486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</xdr:row>
      <xdr:rowOff>142874</xdr:rowOff>
    </xdr:from>
    <xdr:to>
      <xdr:col>9</xdr:col>
      <xdr:colOff>1714500</xdr:colOff>
      <xdr:row>12</xdr:row>
      <xdr:rowOff>71436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42E418-2C95-4BA7-A614-55EF3ABE7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ías Leonel Cabrera" id="{4968A86C-342C-46DE-9D84-39571D4A8D7D}" userId="27ccb1e428c52472" providerId="Windows Live"/>
</personList>
</file>

<file path=xl/theme/theme1.xml><?xml version="1.0" encoding="utf-8"?>
<a:theme xmlns:a="http://schemas.openxmlformats.org/drawingml/2006/main" name="Tema de Office">
  <a:themeElements>
    <a:clrScheme name="Personalizado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0AD47"/>
      </a:accent1>
      <a:accent2>
        <a:srgbClr val="FF0000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5" dT="2023-03-18T19:37:39.23" personId="{4968A86C-342C-46DE-9D84-39571D4A8D7D}" id="{D924F28F-7D81-4E64-A2C2-A49B0D698868}">
    <text>Materia Anual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opLeftCell="A29" zoomScaleNormal="100" workbookViewId="0">
      <selection activeCell="A2" sqref="A2:A56"/>
    </sheetView>
  </sheetViews>
  <sheetFormatPr defaultColWidth="11.42578125" defaultRowHeight="15" x14ac:dyDescent="0.25"/>
  <cols>
    <col min="2" max="2" width="42.5703125" bestFit="1" customWidth="1"/>
    <col min="3" max="3" width="34.7109375" bestFit="1" customWidth="1"/>
    <col min="4" max="4" width="12.28515625" bestFit="1" customWidth="1"/>
    <col min="5" max="5" width="13.85546875" bestFit="1" customWidth="1"/>
    <col min="6" max="6" width="10.5703125" customWidth="1"/>
    <col min="7" max="7" width="34.7109375" bestFit="1" customWidth="1"/>
    <col min="8" max="9" width="25.7109375" customWidth="1"/>
    <col min="10" max="10" width="28.28515625" bestFit="1" customWidth="1"/>
    <col min="11" max="11" width="32.28515625" customWidth="1"/>
    <col min="12" max="15" width="38.7109375" customWidth="1"/>
    <col min="16" max="16" width="13.7109375" customWidth="1"/>
    <col min="17" max="17" width="38.7109375" customWidth="1"/>
    <col min="18" max="18" width="8.140625" customWidth="1"/>
    <col min="19" max="19" width="38.7109375" customWidth="1"/>
    <col min="22" max="22" width="13.28515625" bestFit="1" customWidth="1"/>
    <col min="26" max="26" width="13.28515625" bestFit="1" customWidth="1"/>
  </cols>
  <sheetData>
    <row r="1" spans="1:18" x14ac:dyDescent="0.25">
      <c r="A1" s="45" t="s">
        <v>0</v>
      </c>
      <c r="B1" s="16" t="s">
        <v>95</v>
      </c>
      <c r="C1" s="17" t="s">
        <v>88</v>
      </c>
      <c r="D1" s="17" t="s">
        <v>1</v>
      </c>
      <c r="E1" s="17" t="s">
        <v>2</v>
      </c>
      <c r="F1" s="18" t="s">
        <v>3</v>
      </c>
      <c r="G1" s="16" t="s">
        <v>4</v>
      </c>
      <c r="H1" s="19" t="s">
        <v>7</v>
      </c>
      <c r="I1" s="20" t="s">
        <v>8</v>
      </c>
      <c r="J1" s="18" t="s">
        <v>5</v>
      </c>
    </row>
    <row r="2" spans="1:18" ht="15.75" thickBot="1" x14ac:dyDescent="0.3">
      <c r="A2" s="46">
        <v>3621</v>
      </c>
      <c r="B2" s="63" t="s">
        <v>11</v>
      </c>
      <c r="C2" s="25" t="s">
        <v>89</v>
      </c>
      <c r="D2" s="1" t="s">
        <v>99</v>
      </c>
      <c r="E2" s="81" t="str">
        <f t="shared" ref="E2:E8" si="0">IF(D2="No aprobada","Disponible","No Disponible")</f>
        <v>No Disponible</v>
      </c>
      <c r="F2" s="3">
        <v>8</v>
      </c>
      <c r="G2" s="4">
        <f>COUNTIF(D2:D64,"Aprobada")</f>
        <v>37</v>
      </c>
      <c r="H2" s="7">
        <f>63-G2-I2</f>
        <v>25</v>
      </c>
      <c r="I2" s="8">
        <f>COUNTIF(D2:D64,"Cursada")</f>
        <v>1</v>
      </c>
      <c r="J2" s="5">
        <f>(G2/63)</f>
        <v>0.58730158730158732</v>
      </c>
    </row>
    <row r="3" spans="1:18" x14ac:dyDescent="0.25">
      <c r="A3" s="46">
        <v>3622</v>
      </c>
      <c r="B3" s="63" t="s">
        <v>6</v>
      </c>
      <c r="C3" s="25" t="s">
        <v>89</v>
      </c>
      <c r="D3" s="1" t="s">
        <v>99</v>
      </c>
      <c r="E3" s="81" t="str">
        <f t="shared" si="0"/>
        <v>No Disponible</v>
      </c>
      <c r="F3" s="3">
        <v>5</v>
      </c>
      <c r="G3" s="6"/>
      <c r="H3" s="15"/>
    </row>
    <row r="4" spans="1:18" x14ac:dyDescent="0.25">
      <c r="A4" s="46">
        <v>3623</v>
      </c>
      <c r="B4" s="63" t="s">
        <v>36</v>
      </c>
      <c r="C4" s="23" t="s">
        <v>90</v>
      </c>
      <c r="D4" s="1" t="s">
        <v>99</v>
      </c>
      <c r="E4" s="81" t="str">
        <f t="shared" si="0"/>
        <v>No Disponible</v>
      </c>
      <c r="F4" s="3">
        <v>9</v>
      </c>
      <c r="G4" s="6"/>
      <c r="H4" s="6"/>
    </row>
    <row r="5" spans="1:18" x14ac:dyDescent="0.25">
      <c r="A5" s="46">
        <v>3624</v>
      </c>
      <c r="B5" s="63" t="s">
        <v>51</v>
      </c>
      <c r="C5" s="41" t="s">
        <v>94</v>
      </c>
      <c r="D5" s="1" t="s">
        <v>99</v>
      </c>
      <c r="E5" s="81" t="str">
        <f t="shared" si="0"/>
        <v>No Disponible</v>
      </c>
      <c r="F5" s="3">
        <v>7</v>
      </c>
    </row>
    <row r="6" spans="1:18" x14ac:dyDescent="0.25">
      <c r="A6" s="46">
        <v>3625</v>
      </c>
      <c r="B6" s="63" t="s">
        <v>39</v>
      </c>
      <c r="C6" s="40" t="s">
        <v>91</v>
      </c>
      <c r="D6" s="1" t="s">
        <v>99</v>
      </c>
      <c r="E6" s="81" t="str">
        <f t="shared" si="0"/>
        <v>No Disponible</v>
      </c>
      <c r="F6" s="3">
        <v>8</v>
      </c>
    </row>
    <row r="7" spans="1:18" x14ac:dyDescent="0.25">
      <c r="A7" s="46">
        <v>3626</v>
      </c>
      <c r="B7" s="63" t="s">
        <v>41</v>
      </c>
      <c r="C7" s="42" t="s">
        <v>92</v>
      </c>
      <c r="D7" s="1" t="s">
        <v>99</v>
      </c>
      <c r="E7" s="81" t="str">
        <f t="shared" si="0"/>
        <v>No Disponible</v>
      </c>
      <c r="F7" s="3">
        <v>8</v>
      </c>
      <c r="N7" s="90"/>
      <c r="R7" s="90"/>
    </row>
    <row r="8" spans="1:18" ht="15.75" thickBot="1" x14ac:dyDescent="0.3">
      <c r="A8" s="46">
        <v>3627</v>
      </c>
      <c r="B8" s="63" t="s">
        <v>9</v>
      </c>
      <c r="C8" s="25" t="s">
        <v>89</v>
      </c>
      <c r="D8" s="1" t="s">
        <v>99</v>
      </c>
      <c r="E8" s="81" t="str">
        <f t="shared" si="0"/>
        <v>No Disponible</v>
      </c>
      <c r="F8" s="3">
        <v>8</v>
      </c>
      <c r="G8" s="6"/>
      <c r="H8" s="6"/>
    </row>
    <row r="9" spans="1:18" x14ac:dyDescent="0.25">
      <c r="A9" s="46">
        <v>3628</v>
      </c>
      <c r="B9" s="63" t="s">
        <v>14</v>
      </c>
      <c r="C9" s="25" t="s">
        <v>89</v>
      </c>
      <c r="D9" s="1" t="s">
        <v>99</v>
      </c>
      <c r="E9" s="37" t="str">
        <f>IF(AND(D3&lt;="Cursada", D9="No aprobada"),"Disponible","No Disponible")</f>
        <v>No Disponible</v>
      </c>
      <c r="F9" s="3">
        <v>6</v>
      </c>
      <c r="G9" s="19" t="s">
        <v>12</v>
      </c>
      <c r="H9" s="34" t="s">
        <v>13</v>
      </c>
    </row>
    <row r="10" spans="1:18" ht="15.75" thickBot="1" x14ac:dyDescent="0.3">
      <c r="A10" s="46">
        <v>3629</v>
      </c>
      <c r="B10" s="63" t="s">
        <v>37</v>
      </c>
      <c r="C10" s="23" t="s">
        <v>90</v>
      </c>
      <c r="D10" s="1" t="s">
        <v>99</v>
      </c>
      <c r="E10" s="2" t="str">
        <f>IF(AND(D4&lt;="Cursada",D10="No aprobada"),"Disponible","No Disponible")</f>
        <v>No Disponible</v>
      </c>
      <c r="F10" s="3">
        <v>9</v>
      </c>
      <c r="G10" s="9">
        <f>AVERAGEIF(F2:F64,"&gt;0")</f>
        <v>7.3611111111111107</v>
      </c>
      <c r="H10" s="10">
        <f>(AVERAGEIF(F2:F39,"&gt;0")+AVERAGEIF(F59:F62,"&gt;0"))/2</f>
        <v>7.9623655913978491</v>
      </c>
    </row>
    <row r="11" spans="1:18" x14ac:dyDescent="0.25">
      <c r="A11" s="46">
        <v>3630</v>
      </c>
      <c r="B11" s="63" t="s">
        <v>52</v>
      </c>
      <c r="C11" s="41" t="s">
        <v>94</v>
      </c>
      <c r="D11" s="1" t="s">
        <v>99</v>
      </c>
      <c r="E11" s="2" t="str">
        <f>IF(AND(D5&lt;="Cursada",D11="No aprobada"),"Disponible","No Disponible")</f>
        <v>No Disponible</v>
      </c>
      <c r="F11" s="3">
        <v>4</v>
      </c>
      <c r="G11" s="6"/>
      <c r="H11" s="6"/>
      <c r="L11" s="85"/>
    </row>
    <row r="12" spans="1:18" ht="15.75" thickBot="1" x14ac:dyDescent="0.3">
      <c r="A12" s="46">
        <v>3631</v>
      </c>
      <c r="B12" s="63" t="s">
        <v>40</v>
      </c>
      <c r="C12" s="40" t="s">
        <v>91</v>
      </c>
      <c r="D12" s="1" t="s">
        <v>99</v>
      </c>
      <c r="E12" s="2" t="str">
        <f>IF(AND(D6&lt;="Cursada", D12="No aprobada"),"Disponible","No Disponible")</f>
        <v>No Disponible</v>
      </c>
      <c r="F12" s="3">
        <v>8</v>
      </c>
      <c r="H12" s="6"/>
      <c r="L12" s="85"/>
    </row>
    <row r="13" spans="1:18" ht="15.75" customHeight="1" x14ac:dyDescent="0.25">
      <c r="A13" s="46">
        <v>3632</v>
      </c>
      <c r="B13" s="63" t="s">
        <v>38</v>
      </c>
      <c r="C13" s="43" t="s">
        <v>93</v>
      </c>
      <c r="D13" s="1" t="s">
        <v>99</v>
      </c>
      <c r="E13" s="81" t="str">
        <f>IF(D13="No aprobada","Disponible","No Disponible")</f>
        <v>No Disponible</v>
      </c>
      <c r="F13" s="3">
        <v>7</v>
      </c>
      <c r="G13" s="33" t="s">
        <v>15</v>
      </c>
      <c r="H13" s="34" t="s">
        <v>16</v>
      </c>
      <c r="K13" s="83"/>
      <c r="L13" s="85"/>
    </row>
    <row r="14" spans="1:18" ht="15.75" thickBot="1" x14ac:dyDescent="0.3">
      <c r="A14" s="46">
        <v>3633</v>
      </c>
      <c r="B14" s="64" t="s">
        <v>17</v>
      </c>
      <c r="C14" s="25" t="s">
        <v>89</v>
      </c>
      <c r="D14" s="1" t="s">
        <v>99</v>
      </c>
      <c r="E14" s="1" t="str">
        <f>IF(AND(D3&lt;="Cursada", D14="No aprobada"),"Disponible","No Disponible")</f>
        <v>No Disponible</v>
      </c>
      <c r="F14" s="3">
        <v>5</v>
      </c>
      <c r="G14" s="4">
        <f>42-SUM(COUNTIF(D2:D39,"Aprobada"),COUNTIF(D59:D62,"Aprobada"))</f>
        <v>7</v>
      </c>
      <c r="H14" s="11">
        <f>(42-G14)/42</f>
        <v>0.83333333333333337</v>
      </c>
      <c r="K14" s="83"/>
      <c r="L14" s="85"/>
    </row>
    <row r="15" spans="1:18" x14ac:dyDescent="0.25">
      <c r="A15" s="46">
        <v>3634</v>
      </c>
      <c r="B15" s="64" t="s">
        <v>18</v>
      </c>
      <c r="C15" s="25" t="s">
        <v>89</v>
      </c>
      <c r="D15" s="1" t="s">
        <v>99</v>
      </c>
      <c r="E15" s="1" t="str">
        <f>IF(AND(D9&lt;="Cursada", D15="No aprobada"),"Disponible","No Disponible")</f>
        <v>No Disponible</v>
      </c>
      <c r="F15" s="3">
        <v>9</v>
      </c>
      <c r="L15" s="85"/>
    </row>
    <row r="16" spans="1:18" ht="15.75" thickBot="1" x14ac:dyDescent="0.3">
      <c r="A16" s="46">
        <v>3635</v>
      </c>
      <c r="B16" s="64" t="s">
        <v>42</v>
      </c>
      <c r="C16" s="23" t="s">
        <v>90</v>
      </c>
      <c r="D16" s="1" t="s">
        <v>99</v>
      </c>
      <c r="E16" s="1" t="str">
        <f>IF(AND(D2&lt;="Cursada",D10&lt;="Cursada", D16="No aprobada"),"Disponible","No Disponible")</f>
        <v>No Disponible</v>
      </c>
      <c r="F16" s="3">
        <v>8</v>
      </c>
      <c r="L16" s="85"/>
      <c r="M16" s="90"/>
    </row>
    <row r="17" spans="1:14" x14ac:dyDescent="0.25">
      <c r="A17" s="46">
        <v>3636</v>
      </c>
      <c r="B17" s="64" t="s">
        <v>53</v>
      </c>
      <c r="C17" s="23" t="s">
        <v>90</v>
      </c>
      <c r="D17" s="1" t="s">
        <v>99</v>
      </c>
      <c r="E17" s="1" t="str">
        <f>IF(AND(D2&lt;="Cursada",D10&lt;="Cursada", D17="No aprobada"),"Disponible","No Disponible")</f>
        <v>No Disponible</v>
      </c>
      <c r="F17" s="3">
        <v>7</v>
      </c>
      <c r="G17" s="50" t="s">
        <v>19</v>
      </c>
      <c r="H17" s="27" t="s">
        <v>50</v>
      </c>
      <c r="I17" s="27" t="s">
        <v>20</v>
      </c>
      <c r="J17" s="28" t="s">
        <v>21</v>
      </c>
      <c r="L17" s="85"/>
    </row>
    <row r="18" spans="1:14" x14ac:dyDescent="0.25">
      <c r="A18" s="46">
        <v>3637</v>
      </c>
      <c r="B18" s="64" t="s">
        <v>43</v>
      </c>
      <c r="C18" s="41" t="s">
        <v>94</v>
      </c>
      <c r="D18" s="1" t="s">
        <v>99</v>
      </c>
      <c r="E18" s="1" t="str">
        <f>IF(AND(D11&lt;="Cursada",D18="No aprobada"),"Disponible","No Disponible")</f>
        <v>No Disponible</v>
      </c>
      <c r="F18" s="3">
        <v>7</v>
      </c>
      <c r="G18" s="51" t="s">
        <v>22</v>
      </c>
      <c r="H18" s="21">
        <f>COUNTIF(D2:D13,"Aprobada")</f>
        <v>12</v>
      </c>
      <c r="I18" s="21">
        <f>12-H18</f>
        <v>0</v>
      </c>
      <c r="J18" s="22">
        <f>H18/12</f>
        <v>1</v>
      </c>
      <c r="L18" s="85"/>
    </row>
    <row r="19" spans="1:14" x14ac:dyDescent="0.25">
      <c r="A19" s="46">
        <v>3638</v>
      </c>
      <c r="B19" s="64" t="s">
        <v>54</v>
      </c>
      <c r="C19" s="40" t="s">
        <v>91</v>
      </c>
      <c r="D19" s="1" t="s">
        <v>99</v>
      </c>
      <c r="E19" s="1" t="str">
        <f>IF(AND(D12&lt;="Cursada",D19="No aprobada"),"Disponible","No Disponible")</f>
        <v>No Disponible</v>
      </c>
      <c r="F19" s="3">
        <v>6</v>
      </c>
      <c r="G19" s="52" t="s">
        <v>23</v>
      </c>
      <c r="H19" s="23">
        <f>COUNTIF(D14:D27,"Aprobada")</f>
        <v>14</v>
      </c>
      <c r="I19" s="23">
        <f>14-H19</f>
        <v>0</v>
      </c>
      <c r="J19" s="24">
        <f>H19/14</f>
        <v>1</v>
      </c>
      <c r="L19" s="85"/>
    </row>
    <row r="20" spans="1:14" x14ac:dyDescent="0.25">
      <c r="A20" s="46">
        <v>3676</v>
      </c>
      <c r="B20" s="64" t="s">
        <v>55</v>
      </c>
      <c r="C20" s="81"/>
      <c r="D20" s="1" t="s">
        <v>99</v>
      </c>
      <c r="E20" s="1" t="str">
        <f>IF(AND(D7&lt;="Cursada",D20="No aprobada"),"Disponible","No Disponible")</f>
        <v>No Disponible</v>
      </c>
      <c r="F20" s="3">
        <v>4</v>
      </c>
      <c r="G20" s="53" t="s">
        <v>24</v>
      </c>
      <c r="H20" s="25">
        <f>COUNTIF(D28:D39,"Aprobada")</f>
        <v>6</v>
      </c>
      <c r="I20" s="25">
        <f>12-H20</f>
        <v>6</v>
      </c>
      <c r="J20" s="26">
        <f>H20/12</f>
        <v>0.5</v>
      </c>
      <c r="L20" s="85"/>
    </row>
    <row r="21" spans="1:14" x14ac:dyDescent="0.25">
      <c r="A21" s="46">
        <v>3639</v>
      </c>
      <c r="B21" s="65" t="s">
        <v>44</v>
      </c>
      <c r="C21" s="25" t="s">
        <v>89</v>
      </c>
      <c r="D21" s="1" t="s">
        <v>99</v>
      </c>
      <c r="E21" s="1" t="str">
        <f>IF(AND(D14&lt;="Cursada",D21="No aprobada"),"Disponible","No Disponible")</f>
        <v>No Disponible</v>
      </c>
      <c r="F21" s="3">
        <v>8</v>
      </c>
      <c r="G21" s="54" t="s">
        <v>25</v>
      </c>
      <c r="H21" s="31">
        <f>COUNTIF(D40:D51,"Aprobada")</f>
        <v>2</v>
      </c>
      <c r="I21" s="31">
        <f>12-H21</f>
        <v>10</v>
      </c>
      <c r="J21" s="32">
        <f>H21/12</f>
        <v>0.16666666666666666</v>
      </c>
      <c r="L21" s="85"/>
    </row>
    <row r="22" spans="1:14" x14ac:dyDescent="0.25">
      <c r="A22" s="46">
        <v>3640</v>
      </c>
      <c r="B22" s="65" t="s">
        <v>45</v>
      </c>
      <c r="C22" s="23" t="s">
        <v>90</v>
      </c>
      <c r="D22" s="1" t="s">
        <v>99</v>
      </c>
      <c r="E22" s="1" t="str">
        <f>IF(AND(D16&lt;="Cursada",D22="No aprobada"),"Disponible","No Disponible")</f>
        <v>No Disponible</v>
      </c>
      <c r="F22" s="3">
        <v>8</v>
      </c>
      <c r="G22" s="55" t="s">
        <v>26</v>
      </c>
      <c r="H22" s="38">
        <f>COUNTIF(D52:D55,"Aprobada")</f>
        <v>0</v>
      </c>
      <c r="I22" s="38">
        <f>4-H22</f>
        <v>4</v>
      </c>
      <c r="J22" s="39">
        <f>H22/4</f>
        <v>0</v>
      </c>
      <c r="L22" s="85"/>
    </row>
    <row r="23" spans="1:14" x14ac:dyDescent="0.25">
      <c r="A23" s="46">
        <v>3641</v>
      </c>
      <c r="B23" s="65" t="s">
        <v>56</v>
      </c>
      <c r="C23" s="23" t="s">
        <v>90</v>
      </c>
      <c r="D23" s="1" t="s">
        <v>99</v>
      </c>
      <c r="E23" s="1" t="str">
        <f>IF(AND(D17&lt;="Cursada",D16&lt;="Cursada",D23="No aprobada"),"Disponible","No Disponible")</f>
        <v>No Disponible</v>
      </c>
      <c r="F23" s="3">
        <v>8</v>
      </c>
      <c r="G23" s="56" t="s">
        <v>27</v>
      </c>
      <c r="H23" s="29">
        <f>COUNTIF(D59:D64,"Aprobada")</f>
        <v>3</v>
      </c>
      <c r="I23" s="29">
        <f>6-H23</f>
        <v>3</v>
      </c>
      <c r="J23" s="30">
        <f>H23/6</f>
        <v>0.5</v>
      </c>
      <c r="L23" s="85"/>
      <c r="N23" s="99"/>
    </row>
    <row r="24" spans="1:14" x14ac:dyDescent="0.25">
      <c r="A24" s="46">
        <v>3642</v>
      </c>
      <c r="B24" s="65" t="s">
        <v>46</v>
      </c>
      <c r="C24" s="41" t="s">
        <v>94</v>
      </c>
      <c r="D24" s="1" t="s">
        <v>99</v>
      </c>
      <c r="E24" s="1" t="str">
        <f>IF(AND(D7&lt;="Cursada",D18&lt;="Cursada",D24="No aprobada"),"Disponible","No Disponible")</f>
        <v>No Disponible</v>
      </c>
      <c r="F24" s="3">
        <v>7</v>
      </c>
      <c r="G24" s="57" t="s">
        <v>28</v>
      </c>
      <c r="H24" s="12">
        <f>COUNTIF(D56:D58,"Aprobada")</f>
        <v>0</v>
      </c>
      <c r="I24" s="13">
        <f>3-H24</f>
        <v>3</v>
      </c>
      <c r="J24" s="14">
        <f>H24/3</f>
        <v>0</v>
      </c>
      <c r="L24" s="85"/>
    </row>
    <row r="25" spans="1:14" ht="15.75" thickBot="1" x14ac:dyDescent="0.3">
      <c r="A25" s="46">
        <v>3643</v>
      </c>
      <c r="B25" s="65" t="s">
        <v>57</v>
      </c>
      <c r="C25" s="40" t="s">
        <v>91</v>
      </c>
      <c r="D25" s="1" t="s">
        <v>99</v>
      </c>
      <c r="E25" s="1" t="str">
        <f>IF(AND(D19&lt;="Cursada",D25="No aprobada"),"Disponible","No Disponible")</f>
        <v>No Disponible</v>
      </c>
      <c r="F25" s="3">
        <v>9</v>
      </c>
      <c r="G25" s="58" t="s">
        <v>29</v>
      </c>
      <c r="H25" s="148" t="s">
        <v>96</v>
      </c>
      <c r="I25" s="149"/>
      <c r="J25" s="150"/>
      <c r="L25" s="85"/>
      <c r="M25" s="90"/>
    </row>
    <row r="26" spans="1:14" ht="15.75" thickBot="1" x14ac:dyDescent="0.3">
      <c r="A26" s="46">
        <v>3644</v>
      </c>
      <c r="B26" s="65" t="s">
        <v>58</v>
      </c>
      <c r="C26" s="43" t="s">
        <v>93</v>
      </c>
      <c r="D26" s="1" t="s">
        <v>99</v>
      </c>
      <c r="E26" s="1" t="str">
        <f>IF(AND(D13&lt;="Cursada",D26="No aprobada"),"Disponible","No Disponible")</f>
        <v>No Disponible</v>
      </c>
      <c r="F26" s="3">
        <v>9</v>
      </c>
    </row>
    <row r="27" spans="1:14" ht="15.75" thickBot="1" x14ac:dyDescent="0.3">
      <c r="A27" s="46">
        <v>3680</v>
      </c>
      <c r="B27" s="65" t="s">
        <v>59</v>
      </c>
      <c r="C27" s="81"/>
      <c r="D27" s="1" t="s">
        <v>99</v>
      </c>
      <c r="E27" s="1" t="str">
        <f>IF(AND(D2&lt;="Cursada",D4&lt;="Cursada",D5&lt;="Cursada",D6&lt;="Cursada",D7&lt;="Cursada",D11&lt;="Cursada",D13&lt;="Cursada",D16&lt;="Cursada",D17&lt;="Cursada",D19&lt;="Cursada", D27="No aprobada"),"Disponible","No Disponible")</f>
        <v>No Disponible</v>
      </c>
      <c r="F27" s="3">
        <v>0</v>
      </c>
      <c r="L27" s="85"/>
    </row>
    <row r="28" spans="1:14" x14ac:dyDescent="0.25">
      <c r="A28" s="46">
        <v>3645</v>
      </c>
      <c r="B28" s="66" t="s">
        <v>60</v>
      </c>
      <c r="C28" s="25" t="s">
        <v>89</v>
      </c>
      <c r="D28" s="1" t="s">
        <v>99</v>
      </c>
      <c r="E28" s="1" t="str">
        <f>IF(AND(D8&lt;="Cursada",D28="No aprobada"),"Disponible","No Disponible")</f>
        <v>No Disponible</v>
      </c>
      <c r="F28" s="3">
        <v>7</v>
      </c>
      <c r="G28" s="50" t="s">
        <v>88</v>
      </c>
      <c r="H28" s="27" t="s">
        <v>50</v>
      </c>
      <c r="I28" s="27" t="s">
        <v>20</v>
      </c>
      <c r="J28" s="28" t="s">
        <v>21</v>
      </c>
      <c r="L28" s="85"/>
    </row>
    <row r="29" spans="1:14" x14ac:dyDescent="0.25">
      <c r="A29" s="46">
        <v>3646</v>
      </c>
      <c r="B29" s="66" t="s">
        <v>61</v>
      </c>
      <c r="C29" s="23" t="s">
        <v>90</v>
      </c>
      <c r="D29" s="1" t="s">
        <v>99</v>
      </c>
      <c r="E29" s="1" t="str">
        <f>IF(AND(D14&lt;="Cursada",D22&lt;="Cursada",D29="No aprobada"),"Disponible","No Disponible")</f>
        <v>No Disponible</v>
      </c>
      <c r="F29" s="3">
        <v>9</v>
      </c>
      <c r="G29" s="53" t="s">
        <v>89</v>
      </c>
      <c r="H29" s="25">
        <f>COUNTIFS(C:C,"Ciencias Básicas",D:D,"Aprobada")</f>
        <v>11</v>
      </c>
      <c r="I29" s="25">
        <f>11-H29</f>
        <v>0</v>
      </c>
      <c r="J29" s="26">
        <f>H29/11</f>
        <v>1</v>
      </c>
      <c r="L29" s="85"/>
    </row>
    <row r="30" spans="1:14" x14ac:dyDescent="0.25">
      <c r="A30" s="46">
        <v>3647</v>
      </c>
      <c r="B30" s="67" t="s">
        <v>62</v>
      </c>
      <c r="C30" s="41" t="s">
        <v>94</v>
      </c>
      <c r="D30" s="1" t="s">
        <v>10</v>
      </c>
      <c r="E30" s="1" t="str">
        <f>IF(AND(D24&lt;="Cursada",D30="No aprobada"),"Disponible","No Disponible")</f>
        <v>Disponible</v>
      </c>
      <c r="F30" s="3">
        <v>0</v>
      </c>
      <c r="G30" s="52" t="s">
        <v>90</v>
      </c>
      <c r="H30" s="23">
        <f>COUNTIFS(C:C,"Programación",D:D,"Aprobada")</f>
        <v>7</v>
      </c>
      <c r="I30" s="23">
        <f>10-H30</f>
        <v>3</v>
      </c>
      <c r="J30" s="24">
        <f>H30/10</f>
        <v>0.7</v>
      </c>
      <c r="L30" s="85"/>
    </row>
    <row r="31" spans="1:14" x14ac:dyDescent="0.25">
      <c r="A31" s="46">
        <v>3648</v>
      </c>
      <c r="B31" s="67" t="s">
        <v>63</v>
      </c>
      <c r="C31" s="41" t="s">
        <v>94</v>
      </c>
      <c r="D31" s="1" t="s">
        <v>150</v>
      </c>
      <c r="E31" s="1" t="str">
        <f>IF(AND(D17&lt;="Cursada",D24&lt;="Cursada",D16&lt;="Cursada",D31="No aprobada"),"Disponible","No Disponible")</f>
        <v>No Disponible</v>
      </c>
      <c r="F31" s="3">
        <v>0</v>
      </c>
      <c r="G31" s="59" t="s">
        <v>91</v>
      </c>
      <c r="H31" s="40">
        <f>COUNTIFS(C:C,"Infraestructura",D:D,"Aprobada")</f>
        <v>5</v>
      </c>
      <c r="I31" s="40">
        <f>8-H31</f>
        <v>3</v>
      </c>
      <c r="J31" s="78">
        <f>H31/8</f>
        <v>0.625</v>
      </c>
      <c r="L31" s="85"/>
    </row>
    <row r="32" spans="1:14" x14ac:dyDescent="0.25">
      <c r="A32" s="46">
        <v>3649</v>
      </c>
      <c r="B32" s="67" t="s">
        <v>64</v>
      </c>
      <c r="C32" s="40" t="s">
        <v>91</v>
      </c>
      <c r="D32" s="1" t="s">
        <v>99</v>
      </c>
      <c r="E32" s="1" t="str">
        <f>IF(AND(D19&lt;="Cursada",D10&lt;="Cursada",D32="No aprobada"),"Disponible","No Disponible")</f>
        <v>No Disponible</v>
      </c>
      <c r="F32" s="3">
        <v>7</v>
      </c>
      <c r="G32" s="60" t="s">
        <v>94</v>
      </c>
      <c r="H32" s="41">
        <f>COUNTIFS(C:C,"Desarrollo de Software",D:D,"Aprobada")</f>
        <v>4</v>
      </c>
      <c r="I32" s="41">
        <f>16-H32</f>
        <v>12</v>
      </c>
      <c r="J32" s="79">
        <f>H32/16</f>
        <v>0.25</v>
      </c>
    </row>
    <row r="33" spans="1:15" x14ac:dyDescent="0.25">
      <c r="A33" s="46">
        <v>3650</v>
      </c>
      <c r="B33" s="67" t="s">
        <v>65</v>
      </c>
      <c r="C33" s="42" t="s">
        <v>92</v>
      </c>
      <c r="D33" s="1" t="s">
        <v>99</v>
      </c>
      <c r="E33" s="1" t="str">
        <f>IF(AND(D16&lt;="Cursada",D19&lt;="Cursada",D25&lt;="Cursada",D33="No aprobada"),"Disponible","No Disponible")</f>
        <v>No Disponible</v>
      </c>
      <c r="F33" s="3">
        <v>6</v>
      </c>
      <c r="G33" s="61" t="s">
        <v>92</v>
      </c>
      <c r="H33" s="42">
        <f>COUNTIFS(C:C,"Calidad y Seguridad de la Información",D:D,"Aprobada")</f>
        <v>2</v>
      </c>
      <c r="I33" s="42">
        <f>5-H33</f>
        <v>3</v>
      </c>
      <c r="J33" s="44">
        <f>H33/5</f>
        <v>0.4</v>
      </c>
      <c r="L33" s="85"/>
    </row>
    <row r="34" spans="1:15" x14ac:dyDescent="0.25">
      <c r="A34" s="46">
        <v>3675</v>
      </c>
      <c r="B34" s="67" t="s">
        <v>66</v>
      </c>
      <c r="C34" s="81"/>
      <c r="D34" s="1" t="s">
        <v>99</v>
      </c>
      <c r="E34" s="1" t="str">
        <f>IF(AND(D24&lt;="Cursada",D34="No aprobada"),"Disponible","No Disponible")</f>
        <v>No Disponible</v>
      </c>
      <c r="F34" s="3">
        <v>7</v>
      </c>
      <c r="G34" s="62" t="s">
        <v>93</v>
      </c>
      <c r="H34" s="77">
        <f>COUNTIFS(C:C,"Gestión y Complementarias",D:D,"Aprobada")</f>
        <v>2</v>
      </c>
      <c r="I34" s="77">
        <f>4-H34</f>
        <v>2</v>
      </c>
      <c r="J34" s="80">
        <f>H34/4</f>
        <v>0.5</v>
      </c>
      <c r="L34" s="85"/>
      <c r="O34" s="99"/>
    </row>
    <row r="35" spans="1:15" ht="15.75" thickBot="1" x14ac:dyDescent="0.3">
      <c r="A35" s="46">
        <v>3651</v>
      </c>
      <c r="B35" s="67" t="s">
        <v>67</v>
      </c>
      <c r="C35" s="25" t="s">
        <v>89</v>
      </c>
      <c r="D35" s="1" t="s">
        <v>99</v>
      </c>
      <c r="E35" s="1" t="str">
        <f>IF(AND(D2&lt;="Cursada",D21&lt;="Cursada",D28&lt;="Cursada",D35="No aprobada"),"Disponible","No Disponible")</f>
        <v>No Disponible</v>
      </c>
      <c r="F35" s="3">
        <v>7</v>
      </c>
      <c r="G35" s="58" t="s">
        <v>29</v>
      </c>
      <c r="H35" s="151" t="s">
        <v>96</v>
      </c>
      <c r="I35" s="151"/>
      <c r="J35" s="152"/>
      <c r="L35" s="85"/>
    </row>
    <row r="36" spans="1:15" x14ac:dyDescent="0.25">
      <c r="A36" s="46">
        <v>3652</v>
      </c>
      <c r="B36" s="67" t="s">
        <v>68</v>
      </c>
      <c r="C36" s="23" t="s">
        <v>90</v>
      </c>
      <c r="D36" s="1" t="s">
        <v>10</v>
      </c>
      <c r="E36" s="1" t="str">
        <f>IF(AND(D23&lt;="Cursada",D29&lt;="Cursada",D36="No aprobada"),"Disponible","No Disponible")</f>
        <v>Disponible</v>
      </c>
      <c r="F36" s="3">
        <v>0</v>
      </c>
      <c r="L36" s="85"/>
    </row>
    <row r="37" spans="1:15" x14ac:dyDescent="0.25">
      <c r="A37" s="46">
        <v>3653</v>
      </c>
      <c r="B37" s="67" t="s">
        <v>69</v>
      </c>
      <c r="C37" s="41" t="s">
        <v>94</v>
      </c>
      <c r="D37" s="1" t="s">
        <v>10</v>
      </c>
      <c r="E37" s="1" t="str">
        <f>IF(AND(D31&lt;="Cursada",D37="No aprobada"),"Disponible","No Disponible")</f>
        <v>Disponible</v>
      </c>
      <c r="F37" s="3">
        <v>0</v>
      </c>
      <c r="L37" s="85"/>
    </row>
    <row r="38" spans="1:15" x14ac:dyDescent="0.25">
      <c r="A38" s="46">
        <v>3654</v>
      </c>
      <c r="B38" s="67" t="s">
        <v>70</v>
      </c>
      <c r="C38" s="40" t="s">
        <v>91</v>
      </c>
      <c r="D38" s="1" t="s">
        <v>10</v>
      </c>
      <c r="E38" s="1" t="str">
        <f>IF(AND(D25&lt;="Cursada",D32&lt;="Cursada",D38="No aprobada"),"Disponible","No Disponible")</f>
        <v>Disponible</v>
      </c>
      <c r="F38" s="3">
        <v>0</v>
      </c>
      <c r="G38" s="153" t="s">
        <v>98</v>
      </c>
      <c r="H38" s="154"/>
      <c r="I38" s="154"/>
      <c r="J38" s="154"/>
      <c r="L38" s="85"/>
    </row>
    <row r="39" spans="1:15" x14ac:dyDescent="0.25">
      <c r="A39" s="46">
        <v>3655</v>
      </c>
      <c r="B39" s="68" t="s">
        <v>71</v>
      </c>
      <c r="C39" s="42" t="s">
        <v>92</v>
      </c>
      <c r="D39" s="1" t="s">
        <v>10</v>
      </c>
      <c r="E39" s="1" t="str">
        <f>IF(AND(D33&lt;="Cursada",D39="No aprobada"),"Disponible","No Disponible")</f>
        <v>Disponible</v>
      </c>
      <c r="F39" s="3">
        <v>0</v>
      </c>
      <c r="G39" s="155"/>
      <c r="H39" s="154"/>
      <c r="I39" s="154"/>
      <c r="J39" s="154"/>
    </row>
    <row r="40" spans="1:15" x14ac:dyDescent="0.25">
      <c r="A40" s="46">
        <v>3656</v>
      </c>
      <c r="B40" s="69" t="s">
        <v>72</v>
      </c>
      <c r="C40" s="25" t="s">
        <v>89</v>
      </c>
      <c r="D40" s="1" t="s">
        <v>99</v>
      </c>
      <c r="E40" s="1" t="str">
        <f>IF(AND(D35&lt;="Cursada",D40="No aprobada"),"Disponible","No Disponible")</f>
        <v>No Disponible</v>
      </c>
      <c r="F40" s="3">
        <v>4</v>
      </c>
    </row>
    <row r="41" spans="1:15" x14ac:dyDescent="0.25">
      <c r="A41" s="46">
        <v>3657</v>
      </c>
      <c r="B41" s="69" t="s">
        <v>73</v>
      </c>
      <c r="C41" s="23" t="s">
        <v>90</v>
      </c>
      <c r="D41" s="1" t="s">
        <v>10</v>
      </c>
      <c r="E41" s="1" t="str">
        <f>IF(AND(D29&lt;="Cursada",D41="No aprobada"),"Disponible","No Disponible")</f>
        <v>Disponible</v>
      </c>
      <c r="F41" s="3">
        <v>0</v>
      </c>
    </row>
    <row r="42" spans="1:15" ht="15" customHeight="1" x14ac:dyDescent="0.25">
      <c r="A42" s="46">
        <v>3658</v>
      </c>
      <c r="B42" s="69" t="s">
        <v>74</v>
      </c>
      <c r="C42" s="40" t="s">
        <v>91</v>
      </c>
      <c r="D42" s="1" t="s">
        <v>10</v>
      </c>
      <c r="E42" s="1" t="str">
        <f>IF(AND(D29&lt;="Cursada",D32&lt;="Cursada",D42="No aprobada"),"Disponible","No Disponible")</f>
        <v>Disponible</v>
      </c>
      <c r="F42" s="3">
        <v>0</v>
      </c>
      <c r="G42" s="146" t="s">
        <v>97</v>
      </c>
      <c r="H42" s="147"/>
      <c r="I42" s="147"/>
      <c r="J42" s="147"/>
    </row>
    <row r="43" spans="1:15" x14ac:dyDescent="0.25">
      <c r="A43" s="46">
        <v>3659</v>
      </c>
      <c r="B43" s="69" t="s">
        <v>75</v>
      </c>
      <c r="C43" s="41" t="s">
        <v>94</v>
      </c>
      <c r="D43" s="1" t="s">
        <v>10</v>
      </c>
      <c r="E43" s="1" t="str">
        <f>IF(AND(D26&lt;="Cursada",D30&lt;="Cursada",D31&lt;="Cursada",D43="No aprobada"),"Disponible","No Disponible")</f>
        <v>No Disponible</v>
      </c>
      <c r="F43" s="3">
        <v>0</v>
      </c>
      <c r="G43" s="146"/>
      <c r="H43" s="147"/>
      <c r="I43" s="147"/>
      <c r="J43" s="147"/>
    </row>
    <row r="44" spans="1:15" x14ac:dyDescent="0.25">
      <c r="A44" s="46">
        <v>3660</v>
      </c>
      <c r="B44" s="69" t="s">
        <v>76</v>
      </c>
      <c r="C44" s="40" t="s">
        <v>91</v>
      </c>
      <c r="D44" s="1" t="s">
        <v>10</v>
      </c>
      <c r="E44" s="1" t="str">
        <f>IF(AND(D15&lt;="Cursada",D38&lt;="Cursada",D44="No aprobada"),"Disponible","No Disponible")</f>
        <v>No Disponible</v>
      </c>
      <c r="F44" s="3">
        <v>0</v>
      </c>
      <c r="G44" s="146"/>
      <c r="H44" s="147"/>
      <c r="I44" s="147"/>
      <c r="J44" s="147"/>
    </row>
    <row r="45" spans="1:15" x14ac:dyDescent="0.25">
      <c r="A45" s="46">
        <v>3661</v>
      </c>
      <c r="B45" s="69" t="s">
        <v>77</v>
      </c>
      <c r="C45" s="43" t="s">
        <v>93</v>
      </c>
      <c r="D45" s="1" t="s">
        <v>10</v>
      </c>
      <c r="E45" s="1" t="str">
        <f>IF(AND(D26&lt;="Cursada",D33&lt;="Cursada",D35&lt;="Cursada",D45="No aprobada"),"Disponible","No Disponible")</f>
        <v>Disponible</v>
      </c>
      <c r="F45" s="3">
        <v>0</v>
      </c>
    </row>
    <row r="46" spans="1:15" x14ac:dyDescent="0.25">
      <c r="A46" s="46">
        <v>3662</v>
      </c>
      <c r="B46" s="69" t="s">
        <v>78</v>
      </c>
      <c r="C46" s="25" t="s">
        <v>89</v>
      </c>
      <c r="D46" s="1" t="s">
        <v>99</v>
      </c>
      <c r="E46" s="1" t="str">
        <f>IF(AND(D35&lt;="Cursada",D46="No aprobada"),"Disponible","No Disponible")</f>
        <v>No Disponible</v>
      </c>
      <c r="F46" s="3">
        <v>10</v>
      </c>
    </row>
    <row r="47" spans="1:15" x14ac:dyDescent="0.25">
      <c r="A47" s="46">
        <v>3663</v>
      </c>
      <c r="B47" s="69" t="s">
        <v>79</v>
      </c>
      <c r="C47" s="23" t="s">
        <v>90</v>
      </c>
      <c r="D47" s="1" t="s">
        <v>10</v>
      </c>
      <c r="E47" s="1" t="str">
        <f>IF(AND(D41&lt;="Cursada",D47="No aprobada"),"Disponible","No Disponible")</f>
        <v>No Disponible</v>
      </c>
      <c r="F47" s="3">
        <v>0</v>
      </c>
    </row>
    <row r="48" spans="1:15" x14ac:dyDescent="0.25">
      <c r="A48" s="46">
        <v>3664</v>
      </c>
      <c r="B48" s="70" t="s">
        <v>80</v>
      </c>
      <c r="C48" s="41" t="s">
        <v>94</v>
      </c>
      <c r="D48" s="1" t="s">
        <v>10</v>
      </c>
      <c r="E48" s="1" t="str">
        <f>IF(AND(D29&lt;="Cursada",D35&lt;="Cursada",D48="No aprobada"),"Disponible","No Disponible")</f>
        <v>Disponible</v>
      </c>
      <c r="F48" s="3">
        <v>0</v>
      </c>
    </row>
    <row r="49" spans="1:6" x14ac:dyDescent="0.25">
      <c r="A49" s="46">
        <v>3665</v>
      </c>
      <c r="B49" s="70" t="s">
        <v>81</v>
      </c>
      <c r="C49" s="41" t="s">
        <v>94</v>
      </c>
      <c r="D49" s="1" t="s">
        <v>10</v>
      </c>
      <c r="E49" s="1" t="str">
        <f>IF(AND(D37&lt;="Cursada",D43&lt;="Cursada",D49="No aprobada"),"Disponible","No Disponible")</f>
        <v>No Disponible</v>
      </c>
      <c r="F49" s="3">
        <v>0</v>
      </c>
    </row>
    <row r="50" spans="1:6" x14ac:dyDescent="0.25">
      <c r="A50" s="46">
        <v>3666</v>
      </c>
      <c r="B50" s="70" t="s">
        <v>82</v>
      </c>
      <c r="C50" s="42" t="s">
        <v>92</v>
      </c>
      <c r="D50" s="1" t="s">
        <v>10</v>
      </c>
      <c r="E50" s="1" t="str">
        <f>IF(AND(D32&lt;="Cursada",D36&lt;="Cursada",D39&lt;="Cursada",D50="No aprobada"),"Disponible","No Disponible")</f>
        <v>No Disponible</v>
      </c>
      <c r="F50" s="3">
        <v>0</v>
      </c>
    </row>
    <row r="51" spans="1:6" x14ac:dyDescent="0.25">
      <c r="A51" s="46">
        <v>3667</v>
      </c>
      <c r="B51" s="70" t="s">
        <v>83</v>
      </c>
      <c r="C51" s="42" t="s">
        <v>92</v>
      </c>
      <c r="D51" s="1" t="s">
        <v>10</v>
      </c>
      <c r="E51" s="1" t="str">
        <f>IF(AND(D45&lt;="Cursada",D24&lt;="Cursada",D51="No aprobada"),"Disponible","No Disponible")</f>
        <v>No Disponible</v>
      </c>
      <c r="F51" s="3">
        <v>0</v>
      </c>
    </row>
    <row r="52" spans="1:6" x14ac:dyDescent="0.25">
      <c r="A52" s="46">
        <v>3668</v>
      </c>
      <c r="B52" s="71" t="s">
        <v>84</v>
      </c>
      <c r="C52" s="41" t="s">
        <v>94</v>
      </c>
      <c r="D52" s="1" t="s">
        <v>10</v>
      </c>
      <c r="E52" s="1" t="str">
        <f>IF(AND(D40&lt;="Cursada",D48&lt;="Cursada",D52="No aprobada"),"Disponible","No Disponible")</f>
        <v>No Disponible</v>
      </c>
      <c r="F52" s="3">
        <v>0</v>
      </c>
    </row>
    <row r="53" spans="1:6" x14ac:dyDescent="0.25">
      <c r="A53" s="47">
        <v>3669</v>
      </c>
      <c r="B53" s="71" t="s">
        <v>85</v>
      </c>
      <c r="C53" s="43" t="s">
        <v>93</v>
      </c>
      <c r="D53" s="1" t="s">
        <v>10</v>
      </c>
      <c r="E53" s="1" t="str">
        <f>IF(AND(D45&lt;="Cursada",D53="No aprobada"),"Disponible","No Disponible")</f>
        <v>No Disponible</v>
      </c>
      <c r="F53" s="3">
        <v>0</v>
      </c>
    </row>
    <row r="54" spans="1:6" x14ac:dyDescent="0.25">
      <c r="A54" s="48">
        <v>3670</v>
      </c>
      <c r="B54" s="71" t="s">
        <v>86</v>
      </c>
      <c r="C54" s="41" t="s">
        <v>94</v>
      </c>
      <c r="D54" s="1" t="s">
        <v>10</v>
      </c>
      <c r="E54" s="1" t="str">
        <f>IF(AND(D40&lt;="Cursada",D48&lt;="Cursada",D54="No aprobada"),"Disponible","No Disponible")</f>
        <v>No Disponible</v>
      </c>
      <c r="F54" s="3">
        <v>0</v>
      </c>
    </row>
    <row r="55" spans="1:6" x14ac:dyDescent="0.25">
      <c r="A55" s="48">
        <v>3671</v>
      </c>
      <c r="B55" s="71" t="s">
        <v>87</v>
      </c>
      <c r="C55" s="41" t="s">
        <v>94</v>
      </c>
      <c r="D55" s="1" t="s">
        <v>10</v>
      </c>
      <c r="E55" s="1" t="str">
        <f>IF(AND(D40&lt;="Cursada",D43&lt;="Cursada",D44&lt;="Cursada",D51&lt;="Cursada",D55="No aprobada"),"Disponible","No Disponible")</f>
        <v>No Disponible</v>
      </c>
      <c r="F55" s="3">
        <v>0</v>
      </c>
    </row>
    <row r="56" spans="1:6" x14ac:dyDescent="0.25">
      <c r="A56" s="48">
        <v>3672</v>
      </c>
      <c r="B56" s="72" t="s">
        <v>47</v>
      </c>
      <c r="C56" s="41" t="s">
        <v>94</v>
      </c>
      <c r="D56" s="1" t="s">
        <v>10</v>
      </c>
      <c r="E56" s="1" t="str">
        <f>IF(AND(D36&lt;="Cursada",D37&lt;="Cursada",D45&lt;="Cursada",D56="No aprobada"),"Disponible","No Disponible")</f>
        <v>No Disponible</v>
      </c>
      <c r="F56" s="3">
        <v>0</v>
      </c>
    </row>
    <row r="57" spans="1:6" x14ac:dyDescent="0.25">
      <c r="A57" s="48">
        <v>3673</v>
      </c>
      <c r="B57" s="72" t="s">
        <v>48</v>
      </c>
      <c r="C57" s="41" t="s">
        <v>94</v>
      </c>
      <c r="D57" s="1" t="s">
        <v>10</v>
      </c>
      <c r="E57" s="1" t="str">
        <f>IF(AND(D46&lt;="Cursada",D50&lt;="Cursada",D57="No aprobada"),"Disponible","No Disponible")</f>
        <v>No Disponible</v>
      </c>
      <c r="F57" s="3">
        <v>0</v>
      </c>
    </row>
    <row r="58" spans="1:6" x14ac:dyDescent="0.25">
      <c r="A58" s="48">
        <v>3674</v>
      </c>
      <c r="B58" s="72" t="s">
        <v>49</v>
      </c>
      <c r="C58" s="41" t="s">
        <v>94</v>
      </c>
      <c r="D58" s="1" t="s">
        <v>10</v>
      </c>
      <c r="E58" s="1" t="str">
        <f>IF(AND(D48&lt;="Cursada",D49&lt;="Cursada",D58="No aprobada"),"Disponible","No Disponible")</f>
        <v>No Disponible</v>
      </c>
      <c r="F58" s="3">
        <v>0</v>
      </c>
    </row>
    <row r="59" spans="1:6" x14ac:dyDescent="0.25">
      <c r="A59" s="48">
        <v>911</v>
      </c>
      <c r="B59" s="73" t="s">
        <v>30</v>
      </c>
      <c r="C59" s="81"/>
      <c r="D59" s="1" t="s">
        <v>99</v>
      </c>
      <c r="E59" s="2" t="str">
        <f>IF(D59="No aprobada","Disponible","No Disponible")</f>
        <v>No Disponible</v>
      </c>
      <c r="F59" s="3">
        <v>7</v>
      </c>
    </row>
    <row r="60" spans="1:6" x14ac:dyDescent="0.25">
      <c r="A60" s="48">
        <v>912</v>
      </c>
      <c r="B60" s="73" t="s">
        <v>31</v>
      </c>
      <c r="C60" s="81"/>
      <c r="D60" s="1" t="s">
        <v>99</v>
      </c>
      <c r="E60" s="35" t="str">
        <f>IF(AND(D59&lt;="Cursada",D60="No aprobada"),"Disponible","No Disponible")</f>
        <v>No Disponible</v>
      </c>
      <c r="F60" s="3">
        <v>9</v>
      </c>
    </row>
    <row r="61" spans="1:6" x14ac:dyDescent="0.25">
      <c r="A61" s="48">
        <v>901</v>
      </c>
      <c r="B61" s="73" t="s">
        <v>32</v>
      </c>
      <c r="C61" s="81"/>
      <c r="D61" s="1" t="s">
        <v>99</v>
      </c>
      <c r="E61" s="2" t="str">
        <f>IF(D61="No aprobada","Disponible","No Disponible")</f>
        <v>No Disponible</v>
      </c>
      <c r="F61" s="3">
        <v>10</v>
      </c>
    </row>
    <row r="62" spans="1:6" x14ac:dyDescent="0.25">
      <c r="A62" s="48">
        <v>902</v>
      </c>
      <c r="B62" s="73" t="s">
        <v>33</v>
      </c>
      <c r="C62" s="81"/>
      <c r="D62" s="1" t="s">
        <v>10</v>
      </c>
      <c r="E62" s="1" t="str">
        <f>IF(AND(D61&lt;="Cursada",D62="No aprobada"),"Disponible","No Disponible")</f>
        <v>Disponible</v>
      </c>
      <c r="F62" s="3">
        <v>0</v>
      </c>
    </row>
    <row r="63" spans="1:6" x14ac:dyDescent="0.25">
      <c r="A63" s="48">
        <v>903</v>
      </c>
      <c r="B63" s="73" t="s">
        <v>34</v>
      </c>
      <c r="C63" s="81"/>
      <c r="D63" s="1" t="s">
        <v>10</v>
      </c>
      <c r="E63" s="1" t="str">
        <f>IF(AND(D62&lt;="Cursada",D63="No aprobada"),"Disponible","No Disponible")</f>
        <v>No Disponible</v>
      </c>
      <c r="F63" s="3">
        <v>0</v>
      </c>
    </row>
    <row r="64" spans="1:6" ht="15.75" thickBot="1" x14ac:dyDescent="0.3">
      <c r="A64" s="49">
        <v>904</v>
      </c>
      <c r="B64" s="74" t="s">
        <v>35</v>
      </c>
      <c r="C64" s="82"/>
      <c r="D64" s="75" t="s">
        <v>10</v>
      </c>
      <c r="E64" s="75" t="str">
        <f>IF(AND(D63&lt;="Cursada",D64="No aprobada"),"Disponible","No Disponible")</f>
        <v>No Disponible</v>
      </c>
      <c r="F64" s="76">
        <v>0</v>
      </c>
    </row>
    <row r="65" spans="1:2" x14ac:dyDescent="0.25">
      <c r="A65" s="36"/>
    </row>
    <row r="68" spans="1:2" x14ac:dyDescent="0.25">
      <c r="B68" s="95"/>
    </row>
    <row r="69" spans="1:2" x14ac:dyDescent="0.25">
      <c r="B69" s="95"/>
    </row>
    <row r="70" spans="1:2" x14ac:dyDescent="0.25">
      <c r="B70" s="96"/>
    </row>
    <row r="71" spans="1:2" x14ac:dyDescent="0.25">
      <c r="B71" s="96"/>
    </row>
    <row r="72" spans="1:2" x14ac:dyDescent="0.25">
      <c r="B72" s="96"/>
    </row>
    <row r="73" spans="1:2" x14ac:dyDescent="0.25">
      <c r="B73" s="97"/>
    </row>
    <row r="74" spans="1:2" x14ac:dyDescent="0.25">
      <c r="B74" s="98"/>
    </row>
    <row r="75" spans="1:2" x14ac:dyDescent="0.25">
      <c r="B75" s="98"/>
    </row>
  </sheetData>
  <autoFilter ref="B1:F64" xr:uid="{00000000-0009-0000-0000-000000000000}"/>
  <mergeCells count="4">
    <mergeCell ref="G42:J44"/>
    <mergeCell ref="H25:J25"/>
    <mergeCell ref="H35:J35"/>
    <mergeCell ref="G38:J39"/>
  </mergeCells>
  <conditionalFormatting sqref="C20">
    <cfRule type="cellIs" dxfId="25" priority="7" operator="equal">
      <formula>"No Disponible"</formula>
    </cfRule>
    <cfRule type="cellIs" dxfId="24" priority="8" operator="equal">
      <formula>"Disponible"</formula>
    </cfRule>
  </conditionalFormatting>
  <conditionalFormatting sqref="C27">
    <cfRule type="cellIs" dxfId="23" priority="5" operator="equal">
      <formula>"No Disponible"</formula>
    </cfRule>
    <cfRule type="cellIs" dxfId="22" priority="6" operator="equal">
      <formula>"Disponible"</formula>
    </cfRule>
  </conditionalFormatting>
  <conditionalFormatting sqref="C34">
    <cfRule type="cellIs" dxfId="21" priority="3" operator="equal">
      <formula>"No Disponible"</formula>
    </cfRule>
    <cfRule type="cellIs" dxfId="20" priority="4" operator="equal">
      <formula>"Disponible"</formula>
    </cfRule>
  </conditionalFormatting>
  <conditionalFormatting sqref="C59:C64">
    <cfRule type="cellIs" dxfId="19" priority="1" operator="equal">
      <formula>"No Disponible"</formula>
    </cfRule>
    <cfRule type="cellIs" dxfId="18" priority="2" operator="equal">
      <formula>"Disponible"</formula>
    </cfRule>
  </conditionalFormatting>
  <conditionalFormatting sqref="D2:D64">
    <cfRule type="cellIs" dxfId="17" priority="9" operator="equal">
      <formula>"Cursada"</formula>
    </cfRule>
    <cfRule type="cellIs" dxfId="16" priority="10" operator="equal">
      <formula>"Aprobada"</formula>
    </cfRule>
  </conditionalFormatting>
  <conditionalFormatting sqref="E2:E64">
    <cfRule type="cellIs" dxfId="15" priority="16" operator="equal">
      <formula>"No Disponible"</formula>
    </cfRule>
    <cfRule type="cellIs" dxfId="14" priority="17" operator="equal">
      <formula>"Disponible"</formula>
    </cfRule>
  </conditionalFormatting>
  <conditionalFormatting sqref="F2:F64">
    <cfRule type="cellIs" dxfId="13" priority="11" operator="equal">
      <formula>0</formula>
    </cfRule>
    <cfRule type="cellIs" dxfId="12" priority="12" operator="lessThan">
      <formula>7</formula>
    </cfRule>
    <cfRule type="cellIs" dxfId="11" priority="13" operator="greaterThan">
      <formula>4</formula>
    </cfRule>
    <cfRule type="cellIs" dxfId="10" priority="14" operator="greaterThan">
      <formula>4</formula>
    </cfRule>
  </conditionalFormatting>
  <dataValidations xWindow="587" yWindow="272" count="1">
    <dataValidation type="list" allowBlank="1" showInputMessage="1" showErrorMessage="1" errorTitle="ERROR" error="Elija un valor de la lista" promptTitle="Seleccione..." prompt="Un valor permitido de la lista_x000a_" sqref="D2:D64" xr:uid="{00000000-0002-0000-0000-000000000000}">
      <formula1>"Aprobada,Cursada,No aprobada"</formula1>
    </dataValidation>
  </dataValidations>
  <pageMargins left="0.7" right="0.7" top="0.75" bottom="0.75" header="0.3" footer="0.3"/>
  <pageSetup orientation="portrait" r:id="rId1"/>
  <ignoredErrors>
    <ignoredError sqref="E20 E60:E61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9F59-1AD1-4479-9D52-CEBD7D6903BF}">
  <dimension ref="B2:I56"/>
  <sheetViews>
    <sheetView tabSelected="1" zoomScale="85" zoomScaleNormal="85" workbookViewId="0">
      <selection activeCell="E26" sqref="E26"/>
    </sheetView>
  </sheetViews>
  <sheetFormatPr defaultColWidth="11.42578125" defaultRowHeight="15" x14ac:dyDescent="0.25"/>
  <cols>
    <col min="1" max="2" width="15.7109375" customWidth="1"/>
    <col min="3" max="3" width="38.7109375" customWidth="1"/>
    <col min="4" max="4" width="28.5703125" bestFit="1" customWidth="1"/>
    <col min="5" max="6" width="15.7109375" customWidth="1"/>
    <col min="7" max="7" width="30.42578125" bestFit="1" customWidth="1"/>
    <col min="8" max="9" width="15.7109375" customWidth="1"/>
    <col min="10" max="10" width="11.42578125" customWidth="1"/>
  </cols>
  <sheetData>
    <row r="2" spans="2:9" x14ac:dyDescent="0.25">
      <c r="D2" s="84" t="s">
        <v>137</v>
      </c>
      <c r="E2" s="84" t="s">
        <v>109</v>
      </c>
      <c r="F2" s="88" t="s">
        <v>110</v>
      </c>
      <c r="G2" s="86" t="s">
        <v>141</v>
      </c>
      <c r="H2" s="86" t="s">
        <v>139</v>
      </c>
      <c r="I2" s="86" t="s">
        <v>140</v>
      </c>
    </row>
    <row r="3" spans="2:9" ht="15.75" thickBot="1" x14ac:dyDescent="0.3">
      <c r="B3" s="85"/>
    </row>
    <row r="4" spans="2:9" x14ac:dyDescent="0.25">
      <c r="B4" s="162" t="s">
        <v>111</v>
      </c>
      <c r="C4" s="141" t="s">
        <v>112</v>
      </c>
      <c r="D4" s="134">
        <v>6</v>
      </c>
      <c r="E4" s="89">
        <v>4</v>
      </c>
      <c r="F4" s="94"/>
      <c r="G4" s="102">
        <v>5</v>
      </c>
      <c r="H4" s="103"/>
      <c r="I4" s="104"/>
    </row>
    <row r="5" spans="2:9" ht="15.75" thickBot="1" x14ac:dyDescent="0.3">
      <c r="B5" s="163"/>
      <c r="C5" s="142" t="s">
        <v>113</v>
      </c>
      <c r="D5" s="135">
        <v>9</v>
      </c>
      <c r="E5" s="92">
        <v>9</v>
      </c>
      <c r="F5" s="91"/>
      <c r="G5" s="105">
        <v>9</v>
      </c>
      <c r="H5" s="106"/>
      <c r="I5" s="107"/>
    </row>
    <row r="6" spans="2:9" ht="15.75" thickBot="1" x14ac:dyDescent="0.3">
      <c r="B6" s="85"/>
      <c r="G6" s="108"/>
      <c r="H6" s="108"/>
      <c r="I6" s="108"/>
    </row>
    <row r="7" spans="2:9" x14ac:dyDescent="0.25">
      <c r="B7" s="162" t="s">
        <v>114</v>
      </c>
      <c r="C7" s="141" t="s">
        <v>115</v>
      </c>
      <c r="D7" s="134">
        <v>9</v>
      </c>
      <c r="E7" s="89">
        <v>9</v>
      </c>
      <c r="F7" s="94"/>
      <c r="G7" s="102">
        <v>9</v>
      </c>
      <c r="H7" s="103"/>
      <c r="I7" s="104"/>
    </row>
    <row r="8" spans="2:9" x14ac:dyDescent="0.25">
      <c r="B8" s="164"/>
      <c r="C8" s="143" t="s">
        <v>116</v>
      </c>
      <c r="D8" s="136">
        <v>8</v>
      </c>
      <c r="E8" s="86">
        <v>8</v>
      </c>
      <c r="F8" s="87"/>
      <c r="G8" s="109">
        <v>8</v>
      </c>
      <c r="H8" s="110"/>
      <c r="I8" s="111"/>
    </row>
    <row r="9" spans="2:9" x14ac:dyDescent="0.25">
      <c r="B9" s="164"/>
      <c r="C9" s="144" t="s">
        <v>117</v>
      </c>
      <c r="D9" s="136">
        <v>8</v>
      </c>
      <c r="E9" s="86">
        <v>6</v>
      </c>
      <c r="F9" s="86">
        <v>8</v>
      </c>
      <c r="G9" s="109">
        <v>8</v>
      </c>
      <c r="H9" s="110"/>
      <c r="I9" s="111"/>
    </row>
    <row r="10" spans="2:9" ht="15.75" thickBot="1" x14ac:dyDescent="0.3">
      <c r="B10" s="163"/>
      <c r="C10" s="142" t="s">
        <v>118</v>
      </c>
      <c r="D10" s="135">
        <v>7</v>
      </c>
      <c r="E10" s="92">
        <v>9</v>
      </c>
      <c r="F10" s="91"/>
      <c r="G10" s="105">
        <v>8</v>
      </c>
      <c r="H10" s="106"/>
      <c r="I10" s="107"/>
    </row>
    <row r="11" spans="2:9" ht="15.75" thickBot="1" x14ac:dyDescent="0.3">
      <c r="B11" s="85"/>
      <c r="G11" s="108"/>
      <c r="H11" s="108"/>
      <c r="I11" s="108"/>
    </row>
    <row r="12" spans="2:9" x14ac:dyDescent="0.25">
      <c r="B12" s="162" t="s">
        <v>119</v>
      </c>
      <c r="C12" s="141" t="s">
        <v>120</v>
      </c>
      <c r="D12" s="134">
        <v>4</v>
      </c>
      <c r="E12" s="89">
        <v>7</v>
      </c>
      <c r="F12" s="89">
        <v>7</v>
      </c>
      <c r="G12" s="102">
        <v>7</v>
      </c>
      <c r="H12" s="103"/>
      <c r="I12" s="104"/>
    </row>
    <row r="13" spans="2:9" x14ac:dyDescent="0.25">
      <c r="B13" s="164"/>
      <c r="C13" s="144" t="s">
        <v>54</v>
      </c>
      <c r="D13" s="136">
        <v>4</v>
      </c>
      <c r="E13" s="86">
        <v>6</v>
      </c>
      <c r="F13" s="87"/>
      <c r="G13" s="109">
        <v>6</v>
      </c>
      <c r="H13" s="110"/>
      <c r="I13" s="111"/>
    </row>
    <row r="14" spans="2:9" x14ac:dyDescent="0.25">
      <c r="B14" s="164"/>
      <c r="C14" s="144" t="s">
        <v>121</v>
      </c>
      <c r="D14" s="136">
        <v>4</v>
      </c>
      <c r="E14" s="86">
        <v>4</v>
      </c>
      <c r="F14" s="87"/>
      <c r="G14" s="109">
        <v>6</v>
      </c>
      <c r="H14" s="110"/>
      <c r="I14" s="111"/>
    </row>
    <row r="15" spans="2:9" x14ac:dyDescent="0.25">
      <c r="B15" s="164"/>
      <c r="C15" s="144" t="s">
        <v>122</v>
      </c>
      <c r="D15" s="139" t="s">
        <v>123</v>
      </c>
      <c r="E15" s="86">
        <v>3</v>
      </c>
      <c r="F15" s="86">
        <v>10</v>
      </c>
      <c r="G15" s="109">
        <v>8</v>
      </c>
      <c r="H15" s="110"/>
      <c r="I15" s="111"/>
    </row>
    <row r="16" spans="2:9" x14ac:dyDescent="0.25">
      <c r="B16" s="164"/>
      <c r="C16" s="144" t="s">
        <v>124</v>
      </c>
      <c r="D16" s="140"/>
      <c r="E16" s="86">
        <v>2</v>
      </c>
      <c r="F16" s="86">
        <v>2</v>
      </c>
      <c r="G16" s="112">
        <v>2</v>
      </c>
      <c r="H16" s="110"/>
      <c r="I16" s="111"/>
    </row>
    <row r="17" spans="2:9" ht="15.75" thickBot="1" x14ac:dyDescent="0.3">
      <c r="B17" s="163"/>
      <c r="C17" s="145" t="s">
        <v>125</v>
      </c>
      <c r="D17" s="135">
        <v>10</v>
      </c>
      <c r="E17" s="92">
        <v>9</v>
      </c>
      <c r="F17" s="91"/>
      <c r="G17" s="105">
        <v>7</v>
      </c>
      <c r="H17" s="106"/>
      <c r="I17" s="107"/>
    </row>
    <row r="18" spans="2:9" ht="15.75" thickBot="1" x14ac:dyDescent="0.3">
      <c r="G18" s="108"/>
      <c r="H18" s="108"/>
      <c r="I18" s="108"/>
    </row>
    <row r="19" spans="2:9" x14ac:dyDescent="0.25">
      <c r="B19" s="156" t="s">
        <v>126</v>
      </c>
      <c r="C19" s="141" t="s">
        <v>127</v>
      </c>
      <c r="D19" s="137"/>
      <c r="E19" s="89">
        <v>8</v>
      </c>
      <c r="F19" s="94"/>
      <c r="G19" s="102">
        <v>8</v>
      </c>
      <c r="H19" s="103"/>
      <c r="I19" s="104"/>
    </row>
    <row r="20" spans="2:9" x14ac:dyDescent="0.25">
      <c r="B20" s="157"/>
      <c r="C20" s="144" t="s">
        <v>41</v>
      </c>
      <c r="D20" s="136">
        <v>8</v>
      </c>
      <c r="E20" s="86">
        <v>7</v>
      </c>
      <c r="F20" s="87"/>
      <c r="G20" s="109">
        <v>8</v>
      </c>
      <c r="H20" s="110"/>
      <c r="I20" s="111"/>
    </row>
    <row r="21" spans="2:9" x14ac:dyDescent="0.25">
      <c r="B21" s="157"/>
      <c r="C21" s="144" t="s">
        <v>128</v>
      </c>
      <c r="D21" s="136">
        <v>7</v>
      </c>
      <c r="E21" s="86">
        <v>7</v>
      </c>
      <c r="F21" s="87"/>
      <c r="G21" s="109">
        <v>7</v>
      </c>
      <c r="H21" s="110"/>
      <c r="I21" s="111"/>
    </row>
    <row r="22" spans="2:9" x14ac:dyDescent="0.25">
      <c r="B22" s="157"/>
      <c r="C22" s="144" t="s">
        <v>129</v>
      </c>
      <c r="D22" s="136">
        <v>6</v>
      </c>
      <c r="E22" s="86">
        <v>8</v>
      </c>
      <c r="F22" s="87"/>
      <c r="G22" s="109">
        <v>7</v>
      </c>
      <c r="H22" s="110"/>
      <c r="I22" s="111"/>
    </row>
    <row r="23" spans="2:9" ht="15.75" thickBot="1" x14ac:dyDescent="0.3">
      <c r="B23" s="158"/>
      <c r="C23" s="142" t="s">
        <v>130</v>
      </c>
      <c r="D23" s="135">
        <v>7</v>
      </c>
      <c r="E23" s="92">
        <v>2</v>
      </c>
      <c r="F23" s="92">
        <v>7</v>
      </c>
      <c r="G23" s="105">
        <v>7</v>
      </c>
      <c r="H23" s="106"/>
      <c r="I23" s="107"/>
    </row>
    <row r="24" spans="2:9" ht="15.75" thickBot="1" x14ac:dyDescent="0.3">
      <c r="G24" s="108"/>
      <c r="H24" s="108"/>
      <c r="I24" s="108"/>
    </row>
    <row r="25" spans="2:9" x14ac:dyDescent="0.25">
      <c r="B25" s="165" t="s">
        <v>136</v>
      </c>
      <c r="C25" s="141" t="s">
        <v>45</v>
      </c>
      <c r="D25" s="134">
        <v>5</v>
      </c>
      <c r="E25" s="89">
        <v>5</v>
      </c>
      <c r="F25" s="94"/>
      <c r="G25" s="113">
        <v>2</v>
      </c>
      <c r="H25" s="113">
        <v>2</v>
      </c>
      <c r="I25" s="104"/>
    </row>
    <row r="26" spans="2:9" x14ac:dyDescent="0.25">
      <c r="B26" s="166"/>
      <c r="C26" s="144" t="s">
        <v>132</v>
      </c>
      <c r="D26" s="136">
        <v>6</v>
      </c>
      <c r="E26" s="93" t="s">
        <v>138</v>
      </c>
      <c r="F26" s="86">
        <v>4</v>
      </c>
      <c r="G26" s="109">
        <v>7</v>
      </c>
      <c r="H26" s="110"/>
      <c r="I26" s="111"/>
    </row>
    <row r="27" spans="2:9" x14ac:dyDescent="0.25">
      <c r="B27" s="166"/>
      <c r="C27" s="144" t="s">
        <v>131</v>
      </c>
      <c r="D27" s="136">
        <v>4</v>
      </c>
      <c r="E27" s="86">
        <v>5</v>
      </c>
      <c r="F27" s="87"/>
      <c r="G27" s="109">
        <v>9</v>
      </c>
      <c r="H27" s="110"/>
      <c r="I27" s="111"/>
    </row>
    <row r="28" spans="2:9" x14ac:dyDescent="0.25">
      <c r="B28" s="166"/>
      <c r="C28" s="144" t="s">
        <v>134</v>
      </c>
      <c r="D28" s="136">
        <v>10</v>
      </c>
      <c r="E28" s="86">
        <v>2</v>
      </c>
      <c r="F28" s="86">
        <v>5</v>
      </c>
      <c r="G28" s="114">
        <v>4</v>
      </c>
      <c r="H28" s="110"/>
      <c r="I28" s="111"/>
    </row>
    <row r="29" spans="2:9" x14ac:dyDescent="0.25">
      <c r="B29" s="166"/>
      <c r="C29" s="144" t="s">
        <v>133</v>
      </c>
      <c r="D29" s="136">
        <v>7</v>
      </c>
      <c r="E29" s="86">
        <v>9</v>
      </c>
      <c r="F29" s="87"/>
      <c r="G29" s="109">
        <v>8</v>
      </c>
      <c r="H29" s="110"/>
      <c r="I29" s="111"/>
    </row>
    <row r="30" spans="2:9" ht="15.75" thickBot="1" x14ac:dyDescent="0.3">
      <c r="B30" s="167"/>
      <c r="C30" s="142" t="s">
        <v>135</v>
      </c>
      <c r="D30" s="138"/>
      <c r="E30" s="92">
        <v>9</v>
      </c>
      <c r="F30" s="91"/>
      <c r="G30" s="105">
        <v>9</v>
      </c>
      <c r="H30" s="106"/>
      <c r="I30" s="107"/>
    </row>
    <row r="31" spans="2:9" ht="15.75" thickBot="1" x14ac:dyDescent="0.3"/>
    <row r="32" spans="2:9" x14ac:dyDescent="0.25">
      <c r="B32" s="159" t="s">
        <v>142</v>
      </c>
      <c r="C32" s="141" t="s">
        <v>43</v>
      </c>
      <c r="D32" s="137"/>
      <c r="E32" s="89">
        <v>2</v>
      </c>
      <c r="F32" s="89">
        <v>7</v>
      </c>
      <c r="G32" s="102">
        <v>7</v>
      </c>
      <c r="H32" s="94"/>
      <c r="I32" s="117"/>
    </row>
    <row r="33" spans="2:9" x14ac:dyDescent="0.25">
      <c r="B33" s="160"/>
      <c r="C33" s="144" t="s">
        <v>72</v>
      </c>
      <c r="D33" s="136">
        <v>6</v>
      </c>
      <c r="E33" s="86">
        <v>6</v>
      </c>
      <c r="F33" s="87"/>
      <c r="G33" s="109">
        <v>4</v>
      </c>
      <c r="H33" s="87"/>
      <c r="I33" s="115"/>
    </row>
    <row r="34" spans="2:9" x14ac:dyDescent="0.25">
      <c r="B34" s="160"/>
      <c r="C34" s="144" t="s">
        <v>64</v>
      </c>
      <c r="D34" s="136">
        <v>2</v>
      </c>
      <c r="E34" s="86">
        <v>2</v>
      </c>
      <c r="F34" s="87"/>
      <c r="G34" s="109">
        <v>2</v>
      </c>
      <c r="H34" s="87"/>
      <c r="I34" s="115"/>
    </row>
    <row r="35" spans="2:9" x14ac:dyDescent="0.25">
      <c r="B35" s="160"/>
      <c r="C35" s="144" t="s">
        <v>58</v>
      </c>
      <c r="D35" s="136">
        <v>7</v>
      </c>
      <c r="E35" s="86">
        <v>10</v>
      </c>
      <c r="F35" s="87"/>
      <c r="G35" s="109">
        <v>9</v>
      </c>
      <c r="H35" s="87"/>
      <c r="I35" s="115"/>
    </row>
    <row r="36" spans="2:9" ht="15.75" thickBot="1" x14ac:dyDescent="0.3">
      <c r="B36" s="161"/>
      <c r="C36" s="142" t="s">
        <v>57</v>
      </c>
      <c r="D36" s="135">
        <v>8</v>
      </c>
      <c r="E36" s="92">
        <v>9</v>
      </c>
      <c r="F36" s="91"/>
      <c r="G36" s="105">
        <v>9</v>
      </c>
      <c r="H36" s="91"/>
      <c r="I36" s="116"/>
    </row>
    <row r="37" spans="2:9" ht="15.75" thickBot="1" x14ac:dyDescent="0.3"/>
    <row r="38" spans="2:9" x14ac:dyDescent="0.25">
      <c r="B38" s="159" t="s">
        <v>143</v>
      </c>
      <c r="C38" s="141" t="s">
        <v>46</v>
      </c>
      <c r="D38" s="134">
        <v>7</v>
      </c>
      <c r="E38" s="89">
        <v>7</v>
      </c>
      <c r="F38" s="94"/>
      <c r="G38" s="109">
        <v>7</v>
      </c>
      <c r="H38" s="94"/>
      <c r="I38" s="117"/>
    </row>
    <row r="39" spans="2:9" x14ac:dyDescent="0.25">
      <c r="B39" s="160"/>
      <c r="C39" s="144" t="s">
        <v>144</v>
      </c>
      <c r="D39" s="136">
        <v>10</v>
      </c>
      <c r="E39" s="86">
        <v>9</v>
      </c>
      <c r="F39" s="87"/>
      <c r="G39" s="109">
        <v>9</v>
      </c>
      <c r="H39" s="87"/>
      <c r="I39" s="115"/>
    </row>
    <row r="40" spans="2:9" x14ac:dyDescent="0.25">
      <c r="B40" s="160"/>
      <c r="C40" s="144" t="s">
        <v>64</v>
      </c>
      <c r="D40" s="136">
        <v>6</v>
      </c>
      <c r="E40" s="86">
        <v>2</v>
      </c>
      <c r="F40" s="86">
        <v>2</v>
      </c>
      <c r="G40" s="109">
        <v>2</v>
      </c>
      <c r="H40" s="87"/>
      <c r="I40" s="115"/>
    </row>
    <row r="41" spans="2:9" ht="15.75" thickBot="1" x14ac:dyDescent="0.3">
      <c r="B41" s="161"/>
      <c r="C41" s="142" t="s">
        <v>45</v>
      </c>
      <c r="D41" s="135">
        <v>8</v>
      </c>
      <c r="E41" s="92">
        <v>8</v>
      </c>
      <c r="F41" s="91"/>
      <c r="G41" s="105">
        <v>8</v>
      </c>
      <c r="H41" s="91"/>
      <c r="I41" s="116"/>
    </row>
    <row r="42" spans="2:9" ht="15.75" thickBot="1" x14ac:dyDescent="0.3"/>
    <row r="43" spans="2:9" x14ac:dyDescent="0.25">
      <c r="B43" s="156" t="s">
        <v>149</v>
      </c>
      <c r="C43" s="141" t="s">
        <v>63</v>
      </c>
      <c r="D43" s="134"/>
      <c r="E43" s="89">
        <v>4</v>
      </c>
      <c r="F43" s="94"/>
      <c r="G43" s="102">
        <v>2</v>
      </c>
      <c r="H43" s="89"/>
      <c r="I43" s="121"/>
    </row>
    <row r="44" spans="2:9" x14ac:dyDescent="0.25">
      <c r="B44" s="157"/>
      <c r="C44" s="144" t="s">
        <v>145</v>
      </c>
      <c r="D44" s="136">
        <v>9</v>
      </c>
      <c r="E44" s="86">
        <v>8</v>
      </c>
      <c r="F44" s="87"/>
      <c r="G44" s="122">
        <v>9</v>
      </c>
      <c r="H44" s="87"/>
      <c r="I44" s="115"/>
    </row>
    <row r="45" spans="2:9" x14ac:dyDescent="0.25">
      <c r="B45" s="157"/>
      <c r="C45" s="144" t="s">
        <v>146</v>
      </c>
      <c r="D45" s="136">
        <v>9</v>
      </c>
      <c r="E45" s="86">
        <v>5</v>
      </c>
      <c r="F45" s="87"/>
      <c r="G45" s="109">
        <v>6</v>
      </c>
      <c r="H45" s="87"/>
      <c r="I45" s="115"/>
    </row>
    <row r="46" spans="2:9" x14ac:dyDescent="0.25">
      <c r="B46" s="157"/>
      <c r="C46" s="144" t="s">
        <v>64</v>
      </c>
      <c r="D46" s="136">
        <v>6</v>
      </c>
      <c r="E46" s="86">
        <v>7</v>
      </c>
      <c r="F46" s="87"/>
      <c r="G46" s="109">
        <v>7</v>
      </c>
      <c r="H46" s="87"/>
      <c r="I46" s="115"/>
    </row>
    <row r="47" spans="2:9" x14ac:dyDescent="0.25">
      <c r="B47" s="157"/>
      <c r="C47" s="144" t="s">
        <v>55</v>
      </c>
      <c r="D47" s="136">
        <v>5</v>
      </c>
      <c r="E47" s="86">
        <v>8</v>
      </c>
      <c r="F47" s="87"/>
      <c r="G47" s="122">
        <v>4</v>
      </c>
      <c r="H47" s="87"/>
      <c r="I47" s="115"/>
    </row>
    <row r="48" spans="2:9" x14ac:dyDescent="0.25">
      <c r="B48" s="157"/>
      <c r="C48" s="144" t="s">
        <v>147</v>
      </c>
      <c r="D48" s="140"/>
      <c r="E48" s="87"/>
      <c r="F48" s="87"/>
      <c r="G48" s="109">
        <v>7</v>
      </c>
      <c r="H48" s="87"/>
      <c r="I48" s="115"/>
    </row>
    <row r="49" spans="2:9" ht="15.75" thickBot="1" x14ac:dyDescent="0.3">
      <c r="B49" s="158"/>
      <c r="C49" s="142" t="s">
        <v>148</v>
      </c>
      <c r="D49" s="135">
        <v>10</v>
      </c>
      <c r="E49" s="92">
        <v>9</v>
      </c>
      <c r="F49" s="91"/>
      <c r="G49" s="105">
        <v>10</v>
      </c>
      <c r="H49" s="91"/>
      <c r="I49" s="116"/>
    </row>
    <row r="50" spans="2:9" ht="15.75" thickBot="1" x14ac:dyDescent="0.3"/>
    <row r="51" spans="2:9" x14ac:dyDescent="0.25">
      <c r="B51" s="181" t="s">
        <v>156</v>
      </c>
      <c r="C51" s="141" t="s">
        <v>62</v>
      </c>
      <c r="D51" s="168"/>
      <c r="E51" s="169"/>
      <c r="F51" s="169"/>
      <c r="G51" s="102"/>
      <c r="H51" s="175"/>
      <c r="I51" s="176"/>
    </row>
    <row r="52" spans="2:9" x14ac:dyDescent="0.25">
      <c r="B52" s="182"/>
      <c r="C52" s="144" t="s">
        <v>157</v>
      </c>
      <c r="D52" s="170"/>
      <c r="E52" s="171"/>
      <c r="F52" s="171"/>
      <c r="G52" s="109"/>
      <c r="H52" s="177"/>
      <c r="I52" s="178"/>
    </row>
    <row r="53" spans="2:9" x14ac:dyDescent="0.25">
      <c r="B53" s="182"/>
      <c r="C53" s="144" t="s">
        <v>158</v>
      </c>
      <c r="D53" s="170"/>
      <c r="E53" s="171"/>
      <c r="F53" s="171"/>
      <c r="G53" s="109"/>
      <c r="H53" s="177"/>
      <c r="I53" s="178"/>
    </row>
    <row r="54" spans="2:9" x14ac:dyDescent="0.25">
      <c r="B54" s="182"/>
      <c r="C54" s="144" t="s">
        <v>159</v>
      </c>
      <c r="D54" s="172"/>
      <c r="E54" s="171"/>
      <c r="F54" s="171"/>
      <c r="G54" s="109"/>
      <c r="H54" s="177"/>
      <c r="I54" s="178"/>
    </row>
    <row r="55" spans="2:9" x14ac:dyDescent="0.25">
      <c r="B55" s="182"/>
      <c r="C55" s="144" t="s">
        <v>160</v>
      </c>
      <c r="D55" s="170"/>
      <c r="E55" s="171"/>
      <c r="F55" s="171"/>
      <c r="G55" s="109"/>
      <c r="H55" s="177"/>
      <c r="I55" s="178"/>
    </row>
    <row r="56" spans="2:9" ht="15.75" thickBot="1" x14ac:dyDescent="0.3">
      <c r="B56" s="183"/>
      <c r="C56" s="145" t="s">
        <v>161</v>
      </c>
      <c r="D56" s="173"/>
      <c r="E56" s="174"/>
      <c r="F56" s="174"/>
      <c r="G56" s="105"/>
      <c r="H56" s="179"/>
      <c r="I56" s="180"/>
    </row>
  </sheetData>
  <mergeCells count="9">
    <mergeCell ref="B51:B56"/>
    <mergeCell ref="B43:B49"/>
    <mergeCell ref="B38:B41"/>
    <mergeCell ref="B32:B36"/>
    <mergeCell ref="B4:B5"/>
    <mergeCell ref="B7:B10"/>
    <mergeCell ref="B12:B17"/>
    <mergeCell ref="B19:B23"/>
    <mergeCell ref="B25:B30"/>
  </mergeCells>
  <conditionalFormatting sqref="G32:G36">
    <cfRule type="cellIs" dxfId="9" priority="9" operator="between">
      <formula>4</formula>
      <formula>10</formula>
    </cfRule>
    <cfRule type="cellIs" dxfId="8" priority="10" operator="between">
      <formula>1</formula>
      <formula>3</formula>
    </cfRule>
  </conditionalFormatting>
  <conditionalFormatting sqref="G38:G41 G43:G49">
    <cfRule type="cellIs" dxfId="7" priority="7" operator="between">
      <formula>4</formula>
      <formula>10</formula>
    </cfRule>
    <cfRule type="cellIs" dxfId="6" priority="8" operator="between">
      <formula>1</formula>
      <formula>3</formula>
    </cfRule>
  </conditionalFormatting>
  <conditionalFormatting sqref="G4:I30">
    <cfRule type="cellIs" dxfId="5" priority="11" operator="between">
      <formula>4</formula>
      <formula>10</formula>
    </cfRule>
    <cfRule type="cellIs" dxfId="4" priority="12" operator="between">
      <formula>1</formula>
      <formula>3</formula>
    </cfRule>
  </conditionalFormatting>
  <conditionalFormatting sqref="H51:I56">
    <cfRule type="cellIs" dxfId="3" priority="3" operator="between">
      <formula>4</formula>
      <formula>10</formula>
    </cfRule>
    <cfRule type="cellIs" dxfId="2" priority="4" operator="between">
      <formula>1</formula>
      <formula>3</formula>
    </cfRule>
  </conditionalFormatting>
  <conditionalFormatting sqref="G51:G56">
    <cfRule type="cellIs" dxfId="1" priority="1" operator="between">
      <formula>4</formula>
      <formula>10</formula>
    </cfRule>
    <cfRule type="cellIs" dxfId="0" priority="2" operator="between">
      <formula>1</formula>
      <formula>3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B0BC-4B25-42B2-B51C-E237A8AE051C}">
  <dimension ref="A2:L26"/>
  <sheetViews>
    <sheetView zoomScaleNormal="100" workbookViewId="0">
      <selection activeCell="G9" sqref="G9"/>
    </sheetView>
  </sheetViews>
  <sheetFormatPr defaultColWidth="11.42578125" defaultRowHeight="15" x14ac:dyDescent="0.25"/>
  <cols>
    <col min="1" max="1" width="4.5703125" customWidth="1"/>
    <col min="2" max="2" width="38.7109375" customWidth="1"/>
    <col min="3" max="3" width="12.7109375" customWidth="1"/>
    <col min="4" max="4" width="11.28515625" customWidth="1"/>
    <col min="5" max="5" width="10.7109375" customWidth="1"/>
    <col min="9" max="9" width="9.7109375" bestFit="1" customWidth="1"/>
    <col min="10" max="12" width="38.7109375" customWidth="1"/>
  </cols>
  <sheetData>
    <row r="2" spans="1:12" x14ac:dyDescent="0.25">
      <c r="A2" s="85"/>
      <c r="B2" s="67" t="s">
        <v>62</v>
      </c>
      <c r="C2" s="131" t="s">
        <v>151</v>
      </c>
      <c r="D2" s="132" t="s">
        <v>152</v>
      </c>
      <c r="E2" s="132"/>
      <c r="F2" s="132"/>
      <c r="G2" s="132"/>
      <c r="I2" s="100"/>
      <c r="J2" s="101" t="s">
        <v>100</v>
      </c>
      <c r="K2" s="101" t="s">
        <v>101</v>
      </c>
      <c r="L2" s="101" t="s">
        <v>102</v>
      </c>
    </row>
    <row r="3" spans="1:12" x14ac:dyDescent="0.25">
      <c r="A3" s="85"/>
      <c r="B3" s="67" t="s">
        <v>68</v>
      </c>
      <c r="C3" s="133"/>
      <c r="D3" s="132"/>
      <c r="E3" s="132"/>
      <c r="F3" s="131" t="s">
        <v>153</v>
      </c>
      <c r="G3" s="132"/>
      <c r="I3" s="120" t="s">
        <v>103</v>
      </c>
      <c r="J3" s="86"/>
      <c r="K3" s="100"/>
      <c r="L3" s="67" t="s">
        <v>62</v>
      </c>
    </row>
    <row r="4" spans="1:12" x14ac:dyDescent="0.25">
      <c r="A4" s="85"/>
      <c r="B4" s="67" t="s">
        <v>70</v>
      </c>
      <c r="C4" s="132"/>
      <c r="D4" s="131" t="s">
        <v>152</v>
      </c>
      <c r="E4" s="132"/>
      <c r="F4" s="132" t="s">
        <v>153</v>
      </c>
      <c r="G4" s="132"/>
      <c r="I4" s="120" t="s">
        <v>104</v>
      </c>
      <c r="J4" s="86"/>
      <c r="K4" s="100"/>
      <c r="L4" s="67" t="s">
        <v>70</v>
      </c>
    </row>
    <row r="5" spans="1:12" x14ac:dyDescent="0.25">
      <c r="A5" s="85"/>
      <c r="B5" s="68" t="s">
        <v>71</v>
      </c>
      <c r="C5" s="132"/>
      <c r="D5" s="132" t="s">
        <v>152</v>
      </c>
      <c r="E5" s="132"/>
      <c r="F5" s="132"/>
      <c r="G5" s="132"/>
      <c r="I5" s="120" t="s">
        <v>105</v>
      </c>
      <c r="J5" s="100"/>
      <c r="K5" s="100"/>
      <c r="L5" s="69" t="s">
        <v>77</v>
      </c>
    </row>
    <row r="6" spans="1:12" x14ac:dyDescent="0.25">
      <c r="A6" s="85"/>
      <c r="B6" s="69" t="s">
        <v>73</v>
      </c>
      <c r="C6" s="132"/>
      <c r="D6" s="133"/>
      <c r="E6" s="132"/>
      <c r="F6" s="132"/>
      <c r="G6" s="131" t="s">
        <v>154</v>
      </c>
      <c r="I6" s="120" t="s">
        <v>106</v>
      </c>
      <c r="J6" s="118" t="s">
        <v>46</v>
      </c>
      <c r="K6" s="100"/>
      <c r="L6" s="67" t="s">
        <v>68</v>
      </c>
    </row>
    <row r="7" spans="1:12" x14ac:dyDescent="0.25">
      <c r="A7" s="85"/>
      <c r="B7" s="69" t="s">
        <v>74</v>
      </c>
      <c r="C7" s="133"/>
      <c r="D7" s="132" t="s">
        <v>152</v>
      </c>
      <c r="E7" s="132"/>
      <c r="F7" s="132"/>
      <c r="G7" s="132"/>
      <c r="I7" s="120" t="s">
        <v>107</v>
      </c>
      <c r="J7" s="123" t="s">
        <v>55</v>
      </c>
      <c r="K7" s="124" t="s">
        <v>66</v>
      </c>
      <c r="L7" s="69" t="s">
        <v>73</v>
      </c>
    </row>
    <row r="8" spans="1:12" x14ac:dyDescent="0.25">
      <c r="A8" s="85"/>
      <c r="B8" s="69" t="s">
        <v>77</v>
      </c>
      <c r="C8" s="133"/>
      <c r="D8" s="128"/>
      <c r="E8" s="129" t="s">
        <v>155</v>
      </c>
      <c r="F8" s="130"/>
      <c r="G8" s="132"/>
      <c r="I8" s="120" t="s">
        <v>108</v>
      </c>
      <c r="J8" s="73" t="s">
        <v>33</v>
      </c>
      <c r="K8" s="100"/>
      <c r="L8" s="100"/>
    </row>
    <row r="9" spans="1:12" x14ac:dyDescent="0.25">
      <c r="A9" s="85"/>
      <c r="B9" s="70" t="s">
        <v>80</v>
      </c>
      <c r="C9" s="128"/>
      <c r="D9" s="130"/>
      <c r="E9" s="130" t="s">
        <v>155</v>
      </c>
      <c r="F9" s="130"/>
      <c r="G9" s="130"/>
    </row>
    <row r="10" spans="1:12" x14ac:dyDescent="0.25">
      <c r="B10" s="69" t="s">
        <v>74</v>
      </c>
      <c r="C10" s="133"/>
      <c r="D10" s="133"/>
      <c r="E10" s="133" t="s">
        <v>155</v>
      </c>
      <c r="F10" s="133"/>
      <c r="G10" s="133"/>
      <c r="I10" s="100"/>
      <c r="J10" s="101" t="s">
        <v>100</v>
      </c>
      <c r="K10" s="101" t="s">
        <v>101</v>
      </c>
      <c r="L10" s="101" t="s">
        <v>102</v>
      </c>
    </row>
    <row r="11" spans="1:12" x14ac:dyDescent="0.25">
      <c r="I11" s="101" t="s">
        <v>103</v>
      </c>
      <c r="J11" s="86"/>
      <c r="K11" s="100"/>
      <c r="L11" s="124"/>
    </row>
    <row r="12" spans="1:12" x14ac:dyDescent="0.25">
      <c r="B12" s="73" t="s">
        <v>33</v>
      </c>
      <c r="C12" s="90"/>
      <c r="D12" s="90"/>
      <c r="E12" s="90"/>
      <c r="I12" s="101" t="s">
        <v>104</v>
      </c>
      <c r="J12" s="86"/>
      <c r="K12" s="100"/>
      <c r="L12" s="125" t="s">
        <v>62</v>
      </c>
    </row>
    <row r="13" spans="1:12" x14ac:dyDescent="0.25">
      <c r="B13" s="90"/>
      <c r="C13" s="90"/>
      <c r="D13" s="90"/>
      <c r="E13" s="90"/>
      <c r="I13" s="101" t="s">
        <v>105</v>
      </c>
      <c r="J13" s="100"/>
      <c r="K13" s="100"/>
      <c r="L13" s="69" t="s">
        <v>77</v>
      </c>
    </row>
    <row r="14" spans="1:12" x14ac:dyDescent="0.25">
      <c r="B14" s="67" t="s">
        <v>69</v>
      </c>
      <c r="C14" s="90"/>
      <c r="D14" s="90"/>
      <c r="E14" s="90"/>
      <c r="I14" s="101" t="s">
        <v>106</v>
      </c>
      <c r="J14" s="118"/>
      <c r="K14" s="100"/>
      <c r="L14" s="125" t="s">
        <v>70</v>
      </c>
    </row>
    <row r="15" spans="1:12" x14ac:dyDescent="0.25">
      <c r="B15" s="90"/>
      <c r="C15" s="90"/>
      <c r="D15" s="90"/>
      <c r="E15" s="90"/>
      <c r="I15" s="101" t="s">
        <v>107</v>
      </c>
      <c r="J15" s="123" t="s">
        <v>55</v>
      </c>
      <c r="K15" s="124" t="s">
        <v>66</v>
      </c>
      <c r="L15" s="126" t="s">
        <v>73</v>
      </c>
    </row>
    <row r="16" spans="1:12" x14ac:dyDescent="0.25">
      <c r="B16" s="90"/>
      <c r="C16" s="90"/>
      <c r="D16" s="90"/>
      <c r="E16" s="90"/>
      <c r="I16" s="101" t="s">
        <v>108</v>
      </c>
      <c r="J16" s="127" t="s">
        <v>33</v>
      </c>
      <c r="K16" s="100"/>
      <c r="L16" s="100"/>
    </row>
    <row r="17" spans="2:12" x14ac:dyDescent="0.25">
      <c r="B17" s="90"/>
      <c r="C17" s="90"/>
      <c r="D17" s="90"/>
      <c r="E17" s="90"/>
      <c r="I17" s="90"/>
      <c r="J17" s="119"/>
      <c r="K17" s="90"/>
      <c r="L17" s="90"/>
    </row>
    <row r="18" spans="2:12" x14ac:dyDescent="0.25">
      <c r="B18" s="90"/>
      <c r="C18" s="90"/>
      <c r="D18" s="90"/>
      <c r="E18" s="90"/>
    </row>
    <row r="20" spans="2:12" x14ac:dyDescent="0.25">
      <c r="B20" s="90"/>
    </row>
    <row r="21" spans="2:12" x14ac:dyDescent="0.25">
      <c r="B21" s="90"/>
    </row>
    <row r="22" spans="2:12" x14ac:dyDescent="0.25">
      <c r="B22" s="90"/>
    </row>
    <row r="23" spans="2:12" x14ac:dyDescent="0.25">
      <c r="B23" s="90"/>
    </row>
    <row r="24" spans="2:12" x14ac:dyDescent="0.25">
      <c r="B24" s="90"/>
    </row>
    <row r="25" spans="2:12" x14ac:dyDescent="0.25">
      <c r="B25" s="90"/>
    </row>
    <row r="26" spans="2:12" x14ac:dyDescent="0.25">
      <c r="B26" s="9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de estudio</vt:lpstr>
      <vt:lpstr>Historial de Notas</vt:lpstr>
      <vt:lpstr>Horarios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Tomas Ballesteros</cp:lastModifiedBy>
  <dcterms:created xsi:type="dcterms:W3CDTF">2023-03-05T05:05:08Z</dcterms:created>
  <dcterms:modified xsi:type="dcterms:W3CDTF">2026-03-11T12:53:22Z</dcterms:modified>
</cp:coreProperties>
</file>